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RSONALCLOUD\Public\YE\+file block 003\makerbuino\libraries_custom\Sound4\"/>
    </mc:Choice>
  </mc:AlternateContent>
  <xr:revisionPtr revIDLastSave="0" documentId="8_{A6000EC8-6B6F-4029-A371-A1C88D5799A2}" xr6:coauthVersionLast="31" xr6:coauthVersionMax="31" xr10:uidLastSave="{00000000-0000-0000-0000-000000000000}"/>
  <bookViews>
    <workbookView xWindow="365" yWindow="43" windowWidth="17237" windowHeight="3912" activeTab="1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D50" i="2" l="1"/>
  <c r="E50" i="2" s="1"/>
  <c r="F50" i="2" s="1"/>
  <c r="G50" i="2" s="1"/>
  <c r="C50" i="2"/>
  <c r="C49" i="2" s="1"/>
  <c r="C52" i="2"/>
  <c r="C53" i="2" s="1"/>
  <c r="D51" i="2"/>
  <c r="D2" i="2"/>
  <c r="E2" i="2" s="1"/>
  <c r="F2" i="2" s="1"/>
  <c r="G2" i="2" s="1"/>
  <c r="C4" i="1"/>
  <c r="D4" i="1" s="1"/>
  <c r="D3" i="1"/>
  <c r="D2" i="1"/>
  <c r="E2" i="1" s="1"/>
  <c r="F2" i="1" s="1"/>
  <c r="G2" i="1" s="1"/>
  <c r="C48" i="2" l="1"/>
  <c r="D49" i="2"/>
  <c r="E49" i="2" s="1"/>
  <c r="F49" i="2" s="1"/>
  <c r="G49" i="2" s="1"/>
  <c r="E51" i="2"/>
  <c r="F51" i="2" s="1"/>
  <c r="G51" i="2" s="1"/>
  <c r="C54" i="2"/>
  <c r="D53" i="2"/>
  <c r="E53" i="2" s="1"/>
  <c r="F53" i="2" s="1"/>
  <c r="G53" i="2" s="1"/>
  <c r="D52" i="2"/>
  <c r="E52" i="2" s="1"/>
  <c r="F52" i="2" s="1"/>
  <c r="G52" i="2" s="1"/>
  <c r="H2" i="1"/>
  <c r="I2" i="1" s="1"/>
  <c r="E3" i="1"/>
  <c r="E4" i="1"/>
  <c r="C5" i="1"/>
  <c r="C47" i="2" l="1"/>
  <c r="D48" i="2"/>
  <c r="E48" i="2" s="1"/>
  <c r="F48" i="2" s="1"/>
  <c r="G48" i="2" s="1"/>
  <c r="C55" i="2"/>
  <c r="D54" i="2"/>
  <c r="E54" i="2" s="1"/>
  <c r="F54" i="2" s="1"/>
  <c r="G54" i="2" s="1"/>
  <c r="F4" i="1"/>
  <c r="G4" i="1" s="1"/>
  <c r="F3" i="1"/>
  <c r="G3" i="1" s="1"/>
  <c r="D5" i="1"/>
  <c r="E5" i="1" s="1"/>
  <c r="C6" i="1"/>
  <c r="C46" i="2" l="1"/>
  <c r="D47" i="2"/>
  <c r="E47" i="2" s="1"/>
  <c r="F47" i="2" s="1"/>
  <c r="G47" i="2" s="1"/>
  <c r="C56" i="2"/>
  <c r="D55" i="2"/>
  <c r="E55" i="2" s="1"/>
  <c r="F55" i="2" s="1"/>
  <c r="G55" i="2" s="1"/>
  <c r="H3" i="1"/>
  <c r="I3" i="1" s="1"/>
  <c r="H4" i="1"/>
  <c r="I4" i="1" s="1"/>
  <c r="J4" i="1"/>
  <c r="F5" i="1"/>
  <c r="G5" i="1" s="1"/>
  <c r="D6" i="1"/>
  <c r="E6" i="1" s="1"/>
  <c r="C7" i="1"/>
  <c r="C45" i="2" l="1"/>
  <c r="D46" i="2"/>
  <c r="E46" i="2" s="1"/>
  <c r="F46" i="2" s="1"/>
  <c r="G46" i="2" s="1"/>
  <c r="C57" i="2"/>
  <c r="D56" i="2"/>
  <c r="E56" i="2" s="1"/>
  <c r="F56" i="2" s="1"/>
  <c r="G56" i="2" s="1"/>
  <c r="H5" i="1"/>
  <c r="I5" i="1" s="1"/>
  <c r="J5" i="1"/>
  <c r="F6" i="1"/>
  <c r="G6" i="1" s="1"/>
  <c r="D7" i="1"/>
  <c r="E7" i="1" s="1"/>
  <c r="C8" i="1"/>
  <c r="C44" i="2" l="1"/>
  <c r="D45" i="2"/>
  <c r="E45" i="2" s="1"/>
  <c r="F45" i="2" s="1"/>
  <c r="G45" i="2" s="1"/>
  <c r="C58" i="2"/>
  <c r="D57" i="2"/>
  <c r="E57" i="2" s="1"/>
  <c r="F57" i="2" s="1"/>
  <c r="G57" i="2" s="1"/>
  <c r="H6" i="1"/>
  <c r="I6" i="1" s="1"/>
  <c r="J6" i="1"/>
  <c r="F7" i="1"/>
  <c r="G7" i="1" s="1"/>
  <c r="D8" i="1"/>
  <c r="E8" i="1" s="1"/>
  <c r="C9" i="1"/>
  <c r="C43" i="2" l="1"/>
  <c r="D44" i="2"/>
  <c r="E44" i="2" s="1"/>
  <c r="F44" i="2" s="1"/>
  <c r="G44" i="2" s="1"/>
  <c r="C59" i="2"/>
  <c r="D58" i="2"/>
  <c r="E58" i="2" s="1"/>
  <c r="F58" i="2" s="1"/>
  <c r="G58" i="2" s="1"/>
  <c r="H7" i="1"/>
  <c r="I7" i="1" s="1"/>
  <c r="J7" i="1"/>
  <c r="F8" i="1"/>
  <c r="G8" i="1" s="1"/>
  <c r="D9" i="1"/>
  <c r="E9" i="1" s="1"/>
  <c r="C10" i="1"/>
  <c r="C42" i="2" l="1"/>
  <c r="D43" i="2"/>
  <c r="E43" i="2" s="1"/>
  <c r="F43" i="2" s="1"/>
  <c r="G43" i="2" s="1"/>
  <c r="C60" i="2"/>
  <c r="D59" i="2"/>
  <c r="E59" i="2" s="1"/>
  <c r="F59" i="2" s="1"/>
  <c r="G59" i="2" s="1"/>
  <c r="H8" i="1"/>
  <c r="I8" i="1" s="1"/>
  <c r="J8" i="1"/>
  <c r="F9" i="1"/>
  <c r="G9" i="1" s="1"/>
  <c r="D10" i="1"/>
  <c r="E10" i="1" s="1"/>
  <c r="C11" i="1"/>
  <c r="C41" i="2" l="1"/>
  <c r="D42" i="2"/>
  <c r="E42" i="2" s="1"/>
  <c r="F42" i="2" s="1"/>
  <c r="G42" i="2" s="1"/>
  <c r="C61" i="2"/>
  <c r="D60" i="2"/>
  <c r="E60" i="2" s="1"/>
  <c r="F60" i="2" s="1"/>
  <c r="G60" i="2" s="1"/>
  <c r="H9" i="1"/>
  <c r="I9" i="1" s="1"/>
  <c r="J9" i="1"/>
  <c r="F10" i="1"/>
  <c r="G10" i="1" s="1"/>
  <c r="D11" i="1"/>
  <c r="E11" i="1" s="1"/>
  <c r="C12" i="1"/>
  <c r="C40" i="2" l="1"/>
  <c r="D41" i="2"/>
  <c r="E41" i="2" s="1"/>
  <c r="F41" i="2" s="1"/>
  <c r="G41" i="2" s="1"/>
  <c r="C62" i="2"/>
  <c r="D61" i="2"/>
  <c r="E61" i="2" s="1"/>
  <c r="F61" i="2" s="1"/>
  <c r="G61" i="2" s="1"/>
  <c r="H10" i="1"/>
  <c r="I10" i="1" s="1"/>
  <c r="J10" i="1"/>
  <c r="F11" i="1"/>
  <c r="G11" i="1" s="1"/>
  <c r="D12" i="1"/>
  <c r="E12" i="1" s="1"/>
  <c r="C13" i="1"/>
  <c r="C39" i="2" l="1"/>
  <c r="D40" i="2"/>
  <c r="E40" i="2" s="1"/>
  <c r="F40" i="2" s="1"/>
  <c r="G40" i="2" s="1"/>
  <c r="C63" i="2"/>
  <c r="D62" i="2"/>
  <c r="E62" i="2" s="1"/>
  <c r="F62" i="2" s="1"/>
  <c r="G62" i="2" s="1"/>
  <c r="H11" i="1"/>
  <c r="I11" i="1" s="1"/>
  <c r="J11" i="1"/>
  <c r="F12" i="1"/>
  <c r="G12" i="1" s="1"/>
  <c r="C14" i="1"/>
  <c r="D13" i="1"/>
  <c r="E13" i="1" s="1"/>
  <c r="C38" i="2" l="1"/>
  <c r="D39" i="2"/>
  <c r="E39" i="2" s="1"/>
  <c r="F39" i="2" s="1"/>
  <c r="G39" i="2" s="1"/>
  <c r="C64" i="2"/>
  <c r="D63" i="2"/>
  <c r="E63" i="2" s="1"/>
  <c r="F63" i="2" s="1"/>
  <c r="G63" i="2" s="1"/>
  <c r="H12" i="1"/>
  <c r="I12" i="1" s="1"/>
  <c r="J12" i="1"/>
  <c r="F13" i="1"/>
  <c r="G13" i="1" s="1"/>
  <c r="C15" i="1"/>
  <c r="D14" i="1"/>
  <c r="E14" i="1" s="1"/>
  <c r="C37" i="2" l="1"/>
  <c r="D38" i="2"/>
  <c r="E38" i="2" s="1"/>
  <c r="F38" i="2" s="1"/>
  <c r="G38" i="2" s="1"/>
  <c r="C65" i="2"/>
  <c r="D64" i="2"/>
  <c r="E64" i="2" s="1"/>
  <c r="F64" i="2" s="1"/>
  <c r="G64" i="2" s="1"/>
  <c r="H13" i="1"/>
  <c r="I13" i="1" s="1"/>
  <c r="J13" i="1"/>
  <c r="F14" i="1"/>
  <c r="G14" i="1" s="1"/>
  <c r="D15" i="1"/>
  <c r="E15" i="1" s="1"/>
  <c r="C16" i="1"/>
  <c r="C36" i="2" l="1"/>
  <c r="D37" i="2"/>
  <c r="E37" i="2" s="1"/>
  <c r="F37" i="2" s="1"/>
  <c r="G37" i="2" s="1"/>
  <c r="C66" i="2"/>
  <c r="D65" i="2"/>
  <c r="E65" i="2" s="1"/>
  <c r="F65" i="2" s="1"/>
  <c r="G65" i="2" s="1"/>
  <c r="H14" i="1"/>
  <c r="I14" i="1" s="1"/>
  <c r="J14" i="1"/>
  <c r="F15" i="1"/>
  <c r="G15" i="1" s="1"/>
  <c r="D16" i="1"/>
  <c r="E16" i="1" s="1"/>
  <c r="C17" i="1"/>
  <c r="C35" i="2" l="1"/>
  <c r="D36" i="2"/>
  <c r="E36" i="2" s="1"/>
  <c r="F36" i="2" s="1"/>
  <c r="G36" i="2" s="1"/>
  <c r="C67" i="2"/>
  <c r="D66" i="2"/>
  <c r="E66" i="2" s="1"/>
  <c r="F66" i="2" s="1"/>
  <c r="G66" i="2" s="1"/>
  <c r="H15" i="1"/>
  <c r="I15" i="1" s="1"/>
  <c r="J15" i="1"/>
  <c r="F16" i="1"/>
  <c r="G16" i="1" s="1"/>
  <c r="D17" i="1"/>
  <c r="E17" i="1" s="1"/>
  <c r="C18" i="1"/>
  <c r="C34" i="2" l="1"/>
  <c r="D35" i="2"/>
  <c r="E35" i="2" s="1"/>
  <c r="F35" i="2" s="1"/>
  <c r="G35" i="2" s="1"/>
  <c r="C68" i="2"/>
  <c r="D67" i="2"/>
  <c r="E67" i="2" s="1"/>
  <c r="F67" i="2" s="1"/>
  <c r="G67" i="2" s="1"/>
  <c r="H16" i="1"/>
  <c r="I16" i="1" s="1"/>
  <c r="J16" i="1"/>
  <c r="F17" i="1"/>
  <c r="G17" i="1" s="1"/>
  <c r="D18" i="1"/>
  <c r="E18" i="1" s="1"/>
  <c r="C19" i="1"/>
  <c r="C33" i="2" l="1"/>
  <c r="D34" i="2"/>
  <c r="E34" i="2" s="1"/>
  <c r="F34" i="2" s="1"/>
  <c r="G34" i="2" s="1"/>
  <c r="C69" i="2"/>
  <c r="D68" i="2"/>
  <c r="E68" i="2" s="1"/>
  <c r="F68" i="2" s="1"/>
  <c r="G68" i="2" s="1"/>
  <c r="H17" i="1"/>
  <c r="I17" i="1" s="1"/>
  <c r="J17" i="1"/>
  <c r="F18" i="1"/>
  <c r="G18" i="1" s="1"/>
  <c r="D19" i="1"/>
  <c r="E19" i="1" s="1"/>
  <c r="C20" i="1"/>
  <c r="C32" i="2" l="1"/>
  <c r="D33" i="2"/>
  <c r="E33" i="2" s="1"/>
  <c r="F33" i="2" s="1"/>
  <c r="G33" i="2" s="1"/>
  <c r="C70" i="2"/>
  <c r="D69" i="2"/>
  <c r="E69" i="2" s="1"/>
  <c r="F69" i="2" s="1"/>
  <c r="G69" i="2" s="1"/>
  <c r="H18" i="1"/>
  <c r="I18" i="1" s="1"/>
  <c r="J18" i="1"/>
  <c r="F19" i="1"/>
  <c r="G19" i="1" s="1"/>
  <c r="D20" i="1"/>
  <c r="E20" i="1" s="1"/>
  <c r="C21" i="1"/>
  <c r="C31" i="2" l="1"/>
  <c r="D32" i="2"/>
  <c r="E32" i="2" s="1"/>
  <c r="F32" i="2" s="1"/>
  <c r="G32" i="2" s="1"/>
  <c r="C71" i="2"/>
  <c r="D70" i="2"/>
  <c r="E70" i="2" s="1"/>
  <c r="F70" i="2" s="1"/>
  <c r="G70" i="2" s="1"/>
  <c r="H19" i="1"/>
  <c r="I19" i="1" s="1"/>
  <c r="J19" i="1"/>
  <c r="F20" i="1"/>
  <c r="G20" i="1" s="1"/>
  <c r="D21" i="1"/>
  <c r="E21" i="1" s="1"/>
  <c r="C22" i="1"/>
  <c r="C30" i="2" l="1"/>
  <c r="D31" i="2"/>
  <c r="E31" i="2" s="1"/>
  <c r="F31" i="2" s="1"/>
  <c r="G31" i="2" s="1"/>
  <c r="C72" i="2"/>
  <c r="D71" i="2"/>
  <c r="E71" i="2" s="1"/>
  <c r="F71" i="2" s="1"/>
  <c r="G71" i="2" s="1"/>
  <c r="H20" i="1"/>
  <c r="I20" i="1" s="1"/>
  <c r="J20" i="1"/>
  <c r="F21" i="1"/>
  <c r="G21" i="1" s="1"/>
  <c r="D22" i="1"/>
  <c r="E22" i="1" s="1"/>
  <c r="C23" i="1"/>
  <c r="C29" i="2" l="1"/>
  <c r="D30" i="2"/>
  <c r="E30" i="2" s="1"/>
  <c r="F30" i="2" s="1"/>
  <c r="G30" i="2" s="1"/>
  <c r="C73" i="2"/>
  <c r="D72" i="2"/>
  <c r="E72" i="2" s="1"/>
  <c r="F72" i="2" s="1"/>
  <c r="G72" i="2" s="1"/>
  <c r="H21" i="1"/>
  <c r="I21" i="1" s="1"/>
  <c r="J21" i="1"/>
  <c r="F22" i="1"/>
  <c r="G22" i="1" s="1"/>
  <c r="D23" i="1"/>
  <c r="E23" i="1" s="1"/>
  <c r="C24" i="1"/>
  <c r="C28" i="2" l="1"/>
  <c r="D29" i="2"/>
  <c r="E29" i="2" s="1"/>
  <c r="F29" i="2" s="1"/>
  <c r="G29" i="2" s="1"/>
  <c r="C74" i="2"/>
  <c r="D73" i="2"/>
  <c r="E73" i="2" s="1"/>
  <c r="F73" i="2" s="1"/>
  <c r="G73" i="2" s="1"/>
  <c r="H22" i="1"/>
  <c r="I22" i="1" s="1"/>
  <c r="J22" i="1"/>
  <c r="F23" i="1"/>
  <c r="G23" i="1" s="1"/>
  <c r="D24" i="1"/>
  <c r="E24" i="1" s="1"/>
  <c r="C25" i="1"/>
  <c r="C27" i="2" l="1"/>
  <c r="D28" i="2"/>
  <c r="E28" i="2" s="1"/>
  <c r="F28" i="2" s="1"/>
  <c r="G28" i="2" s="1"/>
  <c r="C75" i="2"/>
  <c r="D74" i="2"/>
  <c r="E74" i="2" s="1"/>
  <c r="F74" i="2" s="1"/>
  <c r="G74" i="2" s="1"/>
  <c r="H23" i="1"/>
  <c r="I23" i="1" s="1"/>
  <c r="J23" i="1"/>
  <c r="F24" i="1"/>
  <c r="G24" i="1" s="1"/>
  <c r="C26" i="1"/>
  <c r="D25" i="1"/>
  <c r="E25" i="1" s="1"/>
  <c r="C26" i="2" l="1"/>
  <c r="D27" i="2"/>
  <c r="E27" i="2" s="1"/>
  <c r="F27" i="2" s="1"/>
  <c r="G27" i="2" s="1"/>
  <c r="C76" i="2"/>
  <c r="D75" i="2"/>
  <c r="E75" i="2" s="1"/>
  <c r="F75" i="2" s="1"/>
  <c r="G75" i="2" s="1"/>
  <c r="H24" i="1"/>
  <c r="I24" i="1" s="1"/>
  <c r="J24" i="1"/>
  <c r="F25" i="1"/>
  <c r="G25" i="1" s="1"/>
  <c r="C27" i="1"/>
  <c r="D26" i="1"/>
  <c r="E26" i="1" s="1"/>
  <c r="C25" i="2" l="1"/>
  <c r="D26" i="2"/>
  <c r="E26" i="2" s="1"/>
  <c r="F26" i="2" s="1"/>
  <c r="G26" i="2" s="1"/>
  <c r="C77" i="2"/>
  <c r="D76" i="2"/>
  <c r="E76" i="2" s="1"/>
  <c r="F76" i="2" s="1"/>
  <c r="G76" i="2" s="1"/>
  <c r="H25" i="1"/>
  <c r="I25" i="1" s="1"/>
  <c r="J25" i="1"/>
  <c r="F26" i="1"/>
  <c r="G26" i="1" s="1"/>
  <c r="D27" i="1"/>
  <c r="E27" i="1" s="1"/>
  <c r="C28" i="1"/>
  <c r="C24" i="2" l="1"/>
  <c r="D25" i="2"/>
  <c r="E25" i="2" s="1"/>
  <c r="F25" i="2" s="1"/>
  <c r="G25" i="2" s="1"/>
  <c r="C78" i="2"/>
  <c r="D77" i="2"/>
  <c r="E77" i="2" s="1"/>
  <c r="F77" i="2" s="1"/>
  <c r="G77" i="2" s="1"/>
  <c r="H26" i="1"/>
  <c r="I26" i="1" s="1"/>
  <c r="J26" i="1"/>
  <c r="F27" i="1"/>
  <c r="G27" i="1" s="1"/>
  <c r="D28" i="1"/>
  <c r="E28" i="1" s="1"/>
  <c r="C29" i="1"/>
  <c r="C23" i="2" l="1"/>
  <c r="D24" i="2"/>
  <c r="E24" i="2" s="1"/>
  <c r="F24" i="2" s="1"/>
  <c r="G24" i="2" s="1"/>
  <c r="C79" i="2"/>
  <c r="D78" i="2"/>
  <c r="E78" i="2" s="1"/>
  <c r="F78" i="2" s="1"/>
  <c r="G78" i="2" s="1"/>
  <c r="H27" i="1"/>
  <c r="I27" i="1" s="1"/>
  <c r="J27" i="1"/>
  <c r="F28" i="1"/>
  <c r="G28" i="1" s="1"/>
  <c r="D29" i="1"/>
  <c r="E29" i="1" s="1"/>
  <c r="C30" i="1"/>
  <c r="C22" i="2" l="1"/>
  <c r="D23" i="2"/>
  <c r="E23" i="2" s="1"/>
  <c r="F23" i="2" s="1"/>
  <c r="G23" i="2" s="1"/>
  <c r="C80" i="2"/>
  <c r="D79" i="2"/>
  <c r="E79" i="2" s="1"/>
  <c r="F79" i="2" s="1"/>
  <c r="G79" i="2" s="1"/>
  <c r="H28" i="1"/>
  <c r="I28" i="1" s="1"/>
  <c r="J28" i="1"/>
  <c r="F29" i="1"/>
  <c r="G29" i="1" s="1"/>
  <c r="D30" i="1"/>
  <c r="E30" i="1" s="1"/>
  <c r="C31" i="1"/>
  <c r="C21" i="2" l="1"/>
  <c r="D22" i="2"/>
  <c r="E22" i="2" s="1"/>
  <c r="F22" i="2" s="1"/>
  <c r="G22" i="2" s="1"/>
  <c r="C81" i="2"/>
  <c r="D80" i="2"/>
  <c r="E80" i="2" s="1"/>
  <c r="F80" i="2" s="1"/>
  <c r="G80" i="2" s="1"/>
  <c r="H29" i="1"/>
  <c r="I29" i="1" s="1"/>
  <c r="J29" i="1"/>
  <c r="F30" i="1"/>
  <c r="G30" i="1" s="1"/>
  <c r="D31" i="1"/>
  <c r="E31" i="1" s="1"/>
  <c r="C32" i="1"/>
  <c r="C20" i="2" l="1"/>
  <c r="D21" i="2"/>
  <c r="E21" i="2" s="1"/>
  <c r="F21" i="2" s="1"/>
  <c r="G21" i="2" s="1"/>
  <c r="C82" i="2"/>
  <c r="D81" i="2"/>
  <c r="E81" i="2" s="1"/>
  <c r="F81" i="2" s="1"/>
  <c r="G81" i="2" s="1"/>
  <c r="H30" i="1"/>
  <c r="I30" i="1" s="1"/>
  <c r="J30" i="1"/>
  <c r="F31" i="1"/>
  <c r="G31" i="1" s="1"/>
  <c r="D32" i="1"/>
  <c r="E32" i="1" s="1"/>
  <c r="C33" i="1"/>
  <c r="C19" i="2" l="1"/>
  <c r="D20" i="2"/>
  <c r="E20" i="2" s="1"/>
  <c r="F20" i="2" s="1"/>
  <c r="G20" i="2" s="1"/>
  <c r="C83" i="2"/>
  <c r="D82" i="2"/>
  <c r="E82" i="2" s="1"/>
  <c r="F82" i="2" s="1"/>
  <c r="G82" i="2" s="1"/>
  <c r="H31" i="1"/>
  <c r="I31" i="1" s="1"/>
  <c r="J31" i="1"/>
  <c r="F32" i="1"/>
  <c r="G32" i="1" s="1"/>
  <c r="D33" i="1"/>
  <c r="E33" i="1" s="1"/>
  <c r="C34" i="1"/>
  <c r="C18" i="2" l="1"/>
  <c r="D19" i="2"/>
  <c r="E19" i="2" s="1"/>
  <c r="F19" i="2" s="1"/>
  <c r="G19" i="2" s="1"/>
  <c r="C84" i="2"/>
  <c r="D83" i="2"/>
  <c r="E83" i="2" s="1"/>
  <c r="F83" i="2" s="1"/>
  <c r="G83" i="2" s="1"/>
  <c r="H32" i="1"/>
  <c r="I32" i="1" s="1"/>
  <c r="J32" i="1"/>
  <c r="F33" i="1"/>
  <c r="G33" i="1" s="1"/>
  <c r="D34" i="1"/>
  <c r="E34" i="1" s="1"/>
  <c r="C35" i="1"/>
  <c r="C17" i="2" l="1"/>
  <c r="D18" i="2"/>
  <c r="E18" i="2" s="1"/>
  <c r="F18" i="2" s="1"/>
  <c r="G18" i="2" s="1"/>
  <c r="C85" i="2"/>
  <c r="D84" i="2"/>
  <c r="E84" i="2" s="1"/>
  <c r="F84" i="2" s="1"/>
  <c r="G84" i="2" s="1"/>
  <c r="H33" i="1"/>
  <c r="I33" i="1" s="1"/>
  <c r="J33" i="1"/>
  <c r="F34" i="1"/>
  <c r="G34" i="1" s="1"/>
  <c r="D35" i="1"/>
  <c r="E35" i="1" s="1"/>
  <c r="C36" i="1"/>
  <c r="C16" i="2" l="1"/>
  <c r="D17" i="2"/>
  <c r="E17" i="2" s="1"/>
  <c r="F17" i="2" s="1"/>
  <c r="G17" i="2" s="1"/>
  <c r="C86" i="2"/>
  <c r="D85" i="2"/>
  <c r="E85" i="2" s="1"/>
  <c r="F85" i="2" s="1"/>
  <c r="G85" i="2" s="1"/>
  <c r="H34" i="1"/>
  <c r="I34" i="1" s="1"/>
  <c r="J34" i="1"/>
  <c r="F35" i="1"/>
  <c r="G35" i="1" s="1"/>
  <c r="D36" i="1"/>
  <c r="E36" i="1" s="1"/>
  <c r="C37" i="1"/>
  <c r="C15" i="2" l="1"/>
  <c r="D16" i="2"/>
  <c r="E16" i="2" s="1"/>
  <c r="F16" i="2" s="1"/>
  <c r="G16" i="2" s="1"/>
  <c r="C87" i="2"/>
  <c r="D86" i="2"/>
  <c r="E86" i="2" s="1"/>
  <c r="F86" i="2" s="1"/>
  <c r="G86" i="2" s="1"/>
  <c r="H35" i="1"/>
  <c r="I35" i="1" s="1"/>
  <c r="J35" i="1"/>
  <c r="F36" i="1"/>
  <c r="G36" i="1" s="1"/>
  <c r="D37" i="1"/>
  <c r="E37" i="1" s="1"/>
  <c r="C38" i="1"/>
  <c r="C14" i="2" l="1"/>
  <c r="D15" i="2"/>
  <c r="E15" i="2" s="1"/>
  <c r="F15" i="2" s="1"/>
  <c r="G15" i="2" s="1"/>
  <c r="C88" i="2"/>
  <c r="D87" i="2"/>
  <c r="E87" i="2" s="1"/>
  <c r="F87" i="2" s="1"/>
  <c r="G87" i="2" s="1"/>
  <c r="H36" i="1"/>
  <c r="I36" i="1" s="1"/>
  <c r="J36" i="1"/>
  <c r="F37" i="1"/>
  <c r="G37" i="1" s="1"/>
  <c r="D38" i="1"/>
  <c r="E38" i="1" s="1"/>
  <c r="C39" i="1"/>
  <c r="C13" i="2" l="1"/>
  <c r="D14" i="2"/>
  <c r="E14" i="2" s="1"/>
  <c r="F14" i="2" s="1"/>
  <c r="G14" i="2" s="1"/>
  <c r="C89" i="2"/>
  <c r="D88" i="2"/>
  <c r="E88" i="2" s="1"/>
  <c r="F88" i="2" s="1"/>
  <c r="G88" i="2" s="1"/>
  <c r="H37" i="1"/>
  <c r="I37" i="1" s="1"/>
  <c r="J37" i="1"/>
  <c r="F38" i="1"/>
  <c r="G38" i="1" s="1"/>
  <c r="D39" i="1"/>
  <c r="E39" i="1" s="1"/>
  <c r="C40" i="1"/>
  <c r="C12" i="2" l="1"/>
  <c r="D13" i="2"/>
  <c r="E13" i="2" s="1"/>
  <c r="F13" i="2" s="1"/>
  <c r="G13" i="2" s="1"/>
  <c r="C90" i="2"/>
  <c r="D90" i="2" s="1"/>
  <c r="E90" i="2" s="1"/>
  <c r="F90" i="2" s="1"/>
  <c r="G90" i="2" s="1"/>
  <c r="D89" i="2"/>
  <c r="E89" i="2" s="1"/>
  <c r="F89" i="2" s="1"/>
  <c r="G89" i="2" s="1"/>
  <c r="H38" i="1"/>
  <c r="I38" i="1" s="1"/>
  <c r="J38" i="1"/>
  <c r="F39" i="1"/>
  <c r="G39" i="1" s="1"/>
  <c r="D40" i="1"/>
  <c r="E40" i="1" s="1"/>
  <c r="C41" i="1"/>
  <c r="C11" i="2" l="1"/>
  <c r="D12" i="2"/>
  <c r="E12" i="2" s="1"/>
  <c r="F12" i="2" s="1"/>
  <c r="G12" i="2" s="1"/>
  <c r="H39" i="1"/>
  <c r="I39" i="1" s="1"/>
  <c r="J39" i="1"/>
  <c r="F40" i="1"/>
  <c r="G40" i="1" s="1"/>
  <c r="D41" i="1"/>
  <c r="E41" i="1" s="1"/>
  <c r="C42" i="1"/>
  <c r="D42" i="1" s="1"/>
  <c r="E42" i="1" s="1"/>
  <c r="C10" i="2" l="1"/>
  <c r="D11" i="2"/>
  <c r="E11" i="2" s="1"/>
  <c r="F11" i="2" s="1"/>
  <c r="G11" i="2" s="1"/>
  <c r="H40" i="1"/>
  <c r="I40" i="1" s="1"/>
  <c r="J40" i="1"/>
  <c r="F42" i="1"/>
  <c r="G42" i="1" s="1"/>
  <c r="F41" i="1"/>
  <c r="G41" i="1" s="1"/>
  <c r="C9" i="2" l="1"/>
  <c r="D10" i="2"/>
  <c r="E10" i="2" s="1"/>
  <c r="F10" i="2" s="1"/>
  <c r="G10" i="2" s="1"/>
  <c r="H41" i="1"/>
  <c r="I41" i="1" s="1"/>
  <c r="H42" i="1"/>
  <c r="I42" i="1" s="1"/>
  <c r="J42" i="1"/>
  <c r="J41" i="1"/>
  <c r="C8" i="2" l="1"/>
  <c r="D9" i="2"/>
  <c r="E9" i="2" s="1"/>
  <c r="F9" i="2" s="1"/>
  <c r="G9" i="2" s="1"/>
  <c r="K1" i="1"/>
  <c r="L1" i="1" s="1"/>
  <c r="K2" i="1"/>
  <c r="C7" i="2" l="1"/>
  <c r="D8" i="2"/>
  <c r="E8" i="2" s="1"/>
  <c r="F8" i="2" s="1"/>
  <c r="G8" i="2" s="1"/>
  <c r="C6" i="2" l="1"/>
  <c r="D7" i="2"/>
  <c r="E7" i="2" s="1"/>
  <c r="F7" i="2" s="1"/>
  <c r="G7" i="2" s="1"/>
  <c r="C5" i="2" l="1"/>
  <c r="D6" i="2"/>
  <c r="E6" i="2" s="1"/>
  <c r="F6" i="2" s="1"/>
  <c r="G6" i="2" s="1"/>
  <c r="C4" i="2" l="1"/>
  <c r="D5" i="2"/>
  <c r="E5" i="2" s="1"/>
  <c r="F5" i="2" s="1"/>
  <c r="G5" i="2" s="1"/>
  <c r="C3" i="2" l="1"/>
  <c r="D3" i="2" s="1"/>
  <c r="E3" i="2" s="1"/>
  <c r="F3" i="2" s="1"/>
  <c r="G3" i="2" s="1"/>
  <c r="D4" i="2"/>
  <c r="E4" i="2" s="1"/>
  <c r="F4" i="2" s="1"/>
  <c r="G4" i="2" s="1"/>
</calcChain>
</file>

<file path=xl/sharedStrings.xml><?xml version="1.0" encoding="utf-8"?>
<sst xmlns="http://schemas.openxmlformats.org/spreadsheetml/2006/main" count="145" uniqueCount="22">
  <si>
    <t>a</t>
  </si>
  <si>
    <t>b</t>
  </si>
  <si>
    <t>c</t>
  </si>
  <si>
    <t>d</t>
  </si>
  <si>
    <t>e</t>
  </si>
  <si>
    <t>f</t>
  </si>
  <si>
    <t>g</t>
  </si>
  <si>
    <t>a#</t>
  </si>
  <si>
    <t>d#</t>
  </si>
  <si>
    <t>f#</t>
  </si>
  <si>
    <t>g#</t>
  </si>
  <si>
    <t>c#</t>
  </si>
  <si>
    <t>freq</t>
  </si>
  <si>
    <t>nanoseconds</t>
  </si>
  <si>
    <t>CLOCK</t>
  </si>
  <si>
    <t>clock cycles</t>
  </si>
  <si>
    <t>timer cycles</t>
  </si>
  <si>
    <t>real cycles</t>
  </si>
  <si>
    <t>diff</t>
  </si>
  <si>
    <t>error cycles</t>
  </si>
  <si>
    <t>half period</t>
  </si>
  <si>
    <t>12root2\updatecycles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</si>
</sst>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selection activeCell="A12" sqref="A12"/>
    </sheetView>
  </sheetViews>
  <sheetFormatPr defaultRowHeight="14" x14ac:dyDescent="0.3"/>
  <cols>
    <col min="1" max="1" width="20.59765625" bestFit="1" customWidth="1"/>
    <col min="4" max="4" width="12.59765625" bestFit="1" customWidth="1"/>
    <col min="5" max="5" width="12" bestFit="1" customWidth="1"/>
    <col min="6" max="6" width="12.296875" customWidth="1"/>
    <col min="7" max="7" width="10.69921875" bestFit="1" customWidth="1"/>
    <col min="8" max="8" width="10.09765625" bestFit="1" customWidth="1"/>
    <col min="9" max="9" width="12" bestFit="1" customWidth="1"/>
    <col min="11" max="11" width="11" bestFit="1" customWidth="1"/>
  </cols>
  <sheetData>
    <row r="1" spans="1:12" x14ac:dyDescent="0.3">
      <c r="A1" t="s">
        <v>21</v>
      </c>
      <c r="B1">
        <v>145</v>
      </c>
      <c r="C1" t="s">
        <v>12</v>
      </c>
      <c r="D1" t="s">
        <v>13</v>
      </c>
      <c r="E1" t="s">
        <v>15</v>
      </c>
      <c r="F1" t="s">
        <v>16</v>
      </c>
      <c r="G1" t="s">
        <v>20</v>
      </c>
      <c r="H1" t="s">
        <v>17</v>
      </c>
      <c r="I1" t="s">
        <v>19</v>
      </c>
      <c r="J1" t="s">
        <v>18</v>
      </c>
      <c r="K1">
        <f>MAX(I2:I42)</f>
        <v>143.82780400364936</v>
      </c>
      <c r="L1">
        <f>K1/F42</f>
        <v>5.4562093544536747</v>
      </c>
    </row>
    <row r="2" spans="1:12" x14ac:dyDescent="0.3">
      <c r="A2">
        <v>1.059463094</v>
      </c>
      <c r="B2" t="s">
        <v>14</v>
      </c>
      <c r="C2">
        <v>16000000</v>
      </c>
      <c r="D2">
        <f>1000000000/C2</f>
        <v>62.5</v>
      </c>
      <c r="E2">
        <f>D2/$D$2</f>
        <v>1</v>
      </c>
      <c r="F2">
        <f>E2/$B$1</f>
        <v>6.8965517241379309E-3</v>
      </c>
      <c r="G2">
        <f>ROUND(F2/2,0)</f>
        <v>0</v>
      </c>
      <c r="H2">
        <f>G2*$B$1*2</f>
        <v>0</v>
      </c>
      <c r="I2">
        <f t="shared" ref="I2:I42" si="0">ABS(H2-E2)</f>
        <v>1</v>
      </c>
      <c r="K2">
        <f>MIN(J3:J42)</f>
        <v>1</v>
      </c>
    </row>
    <row r="3" spans="1:12" x14ac:dyDescent="0.3">
      <c r="A3">
        <v>5</v>
      </c>
      <c r="B3" t="s">
        <v>0</v>
      </c>
      <c r="C3">
        <v>440</v>
      </c>
      <c r="D3">
        <f>1000000000/C3</f>
        <v>2272727.2727272729</v>
      </c>
      <c r="E3">
        <f>D3/$D$2</f>
        <v>36363.636363636368</v>
      </c>
      <c r="F3">
        <f t="shared" ref="F3:F41" si="1">E3/$B$1</f>
        <v>250.78369905956114</v>
      </c>
      <c r="G3">
        <f t="shared" ref="G3:G42" si="2">ROUND(F3/2,0)</f>
        <v>125</v>
      </c>
      <c r="H3">
        <f t="shared" ref="H3:H42" si="3">G3*$B$1*2</f>
        <v>36250</v>
      </c>
      <c r="I3">
        <f t="shared" si="0"/>
        <v>113.63636363636761</v>
      </c>
    </row>
    <row r="4" spans="1:12" x14ac:dyDescent="0.3">
      <c r="A4">
        <v>5</v>
      </c>
      <c r="B4" t="s">
        <v>7</v>
      </c>
      <c r="C4">
        <f t="shared" ref="C4:C42" si="4">C3*$A$2</f>
        <v>466.16376136000002</v>
      </c>
      <c r="D4">
        <f t="shared" ref="D4:D42" si="5">1000000000/C4</f>
        <v>2145168.8931858842</v>
      </c>
      <c r="E4">
        <f t="shared" ref="E4:E42" si="6">D4/$D$2</f>
        <v>34322.70229097415</v>
      </c>
      <c r="F4">
        <f t="shared" si="1"/>
        <v>236.70829166189068</v>
      </c>
      <c r="G4">
        <f t="shared" si="2"/>
        <v>118</v>
      </c>
      <c r="H4">
        <f t="shared" si="3"/>
        <v>34220</v>
      </c>
      <c r="I4">
        <f t="shared" si="0"/>
        <v>102.70229097414995</v>
      </c>
      <c r="J4">
        <f t="shared" ref="J4:J42" si="7">G3-G4</f>
        <v>7</v>
      </c>
    </row>
    <row r="5" spans="1:12" x14ac:dyDescent="0.3">
      <c r="A5">
        <v>5</v>
      </c>
      <c r="B5" t="s">
        <v>1</v>
      </c>
      <c r="C5">
        <f t="shared" si="4"/>
        <v>493.8833009211433</v>
      </c>
      <c r="D5">
        <f t="shared" si="5"/>
        <v>2024769.815328635</v>
      </c>
      <c r="E5">
        <f t="shared" si="6"/>
        <v>32396.317045258162</v>
      </c>
      <c r="F5">
        <f t="shared" si="1"/>
        <v>223.42287617419422</v>
      </c>
      <c r="G5">
        <f t="shared" si="2"/>
        <v>112</v>
      </c>
      <c r="H5">
        <f t="shared" si="3"/>
        <v>32480</v>
      </c>
      <c r="I5">
        <f t="shared" si="0"/>
        <v>83.68295474183833</v>
      </c>
      <c r="J5">
        <f t="shared" si="7"/>
        <v>6</v>
      </c>
    </row>
    <row r="6" spans="1:12" x14ac:dyDescent="0.3">
      <c r="A6">
        <v>5</v>
      </c>
      <c r="B6" t="s">
        <v>2</v>
      </c>
      <c r="C6">
        <f t="shared" si="4"/>
        <v>523.2511300688476</v>
      </c>
      <c r="D6">
        <f t="shared" si="5"/>
        <v>1911128.2184300746</v>
      </c>
      <c r="E6">
        <f t="shared" si="6"/>
        <v>30578.051494881194</v>
      </c>
      <c r="F6">
        <f t="shared" si="1"/>
        <v>210.88311375780134</v>
      </c>
      <c r="G6">
        <f t="shared" si="2"/>
        <v>105</v>
      </c>
      <c r="H6">
        <f t="shared" si="3"/>
        <v>30450</v>
      </c>
      <c r="I6">
        <f t="shared" si="0"/>
        <v>128.05149488119423</v>
      </c>
      <c r="J6">
        <f t="shared" si="7"/>
        <v>7</v>
      </c>
    </row>
    <row r="7" spans="1:12" x14ac:dyDescent="0.3">
      <c r="A7">
        <v>5</v>
      </c>
      <c r="B7" t="s">
        <v>11</v>
      </c>
      <c r="C7">
        <f t="shared" si="4"/>
        <v>554.36526120173778</v>
      </c>
      <c r="D7">
        <f t="shared" si="5"/>
        <v>1803864.8342290199</v>
      </c>
      <c r="E7">
        <f t="shared" si="6"/>
        <v>28861.837347664317</v>
      </c>
      <c r="F7">
        <f t="shared" si="1"/>
        <v>199.04715412182287</v>
      </c>
      <c r="G7">
        <f t="shared" si="2"/>
        <v>100</v>
      </c>
      <c r="H7">
        <f t="shared" si="3"/>
        <v>29000</v>
      </c>
      <c r="I7">
        <f t="shared" si="0"/>
        <v>138.16265233568265</v>
      </c>
      <c r="J7">
        <f t="shared" si="7"/>
        <v>5</v>
      </c>
    </row>
    <row r="8" spans="1:12" x14ac:dyDescent="0.3">
      <c r="A8">
        <v>5</v>
      </c>
      <c r="B8" t="s">
        <v>3</v>
      </c>
      <c r="C8">
        <f t="shared" si="4"/>
        <v>587.32953483891129</v>
      </c>
      <c r="D8">
        <f t="shared" si="5"/>
        <v>1702621.6811560025</v>
      </c>
      <c r="E8">
        <f t="shared" si="6"/>
        <v>27241.94689849604</v>
      </c>
      <c r="F8">
        <f t="shared" si="1"/>
        <v>187.87549585169683</v>
      </c>
      <c r="G8">
        <f t="shared" si="2"/>
        <v>94</v>
      </c>
      <c r="H8">
        <f t="shared" si="3"/>
        <v>27260</v>
      </c>
      <c r="I8">
        <f t="shared" si="0"/>
        <v>18.053101503959624</v>
      </c>
      <c r="J8">
        <f t="shared" si="7"/>
        <v>6</v>
      </c>
    </row>
    <row r="9" spans="1:12" x14ac:dyDescent="0.3">
      <c r="A9">
        <v>5</v>
      </c>
      <c r="B9" t="s">
        <v>8</v>
      </c>
      <c r="C9">
        <f t="shared" si="4"/>
        <v>622.2539661780138</v>
      </c>
      <c r="D9">
        <f t="shared" si="5"/>
        <v>1607060.869603073</v>
      </c>
      <c r="E9">
        <f t="shared" si="6"/>
        <v>25712.973913649166</v>
      </c>
      <c r="F9">
        <f t="shared" si="1"/>
        <v>177.3308545768908</v>
      </c>
      <c r="G9">
        <f t="shared" si="2"/>
        <v>89</v>
      </c>
      <c r="H9">
        <f t="shared" si="3"/>
        <v>25810</v>
      </c>
      <c r="I9">
        <f t="shared" si="0"/>
        <v>97.026086350833793</v>
      </c>
      <c r="J9">
        <f t="shared" si="7"/>
        <v>5</v>
      </c>
    </row>
    <row r="10" spans="1:12" x14ac:dyDescent="0.3">
      <c r="A10">
        <v>5</v>
      </c>
      <c r="B10" t="s">
        <v>4</v>
      </c>
      <c r="C10">
        <f t="shared" si="4"/>
        <v>659.2551122607299</v>
      </c>
      <c r="D10">
        <f t="shared" si="5"/>
        <v>1516863.4742486584</v>
      </c>
      <c r="E10">
        <f t="shared" si="6"/>
        <v>24269.815587978534</v>
      </c>
      <c r="F10">
        <f t="shared" si="1"/>
        <v>167.378038537783</v>
      </c>
      <c r="G10">
        <f t="shared" si="2"/>
        <v>84</v>
      </c>
      <c r="H10">
        <f t="shared" si="3"/>
        <v>24360</v>
      </c>
      <c r="I10">
        <f t="shared" si="0"/>
        <v>90.184412021466414</v>
      </c>
      <c r="J10">
        <f t="shared" si="7"/>
        <v>5</v>
      </c>
    </row>
    <row r="11" spans="1:12" x14ac:dyDescent="0.3">
      <c r="A11">
        <v>5</v>
      </c>
      <c r="B11" t="s">
        <v>5</v>
      </c>
      <c r="C11">
        <f t="shared" si="4"/>
        <v>698.45646097107021</v>
      </c>
      <c r="D11">
        <f t="shared" si="5"/>
        <v>1431728.4696739595</v>
      </c>
      <c r="E11">
        <f t="shared" si="6"/>
        <v>22907.655514783353</v>
      </c>
      <c r="F11">
        <f t="shared" si="1"/>
        <v>157.98383113643692</v>
      </c>
      <c r="G11">
        <f t="shared" si="2"/>
        <v>79</v>
      </c>
      <c r="H11">
        <f t="shared" si="3"/>
        <v>22910</v>
      </c>
      <c r="I11">
        <f t="shared" si="0"/>
        <v>2.3444852166467172</v>
      </c>
      <c r="J11">
        <f t="shared" si="7"/>
        <v>5</v>
      </c>
    </row>
    <row r="12" spans="1:12" x14ac:dyDescent="0.3">
      <c r="A12">
        <v>5</v>
      </c>
      <c r="B12" t="s">
        <v>9</v>
      </c>
      <c r="C12">
        <f t="shared" si="4"/>
        <v>739.98884316470037</v>
      </c>
      <c r="D12">
        <f t="shared" si="5"/>
        <v>1351371.7257186114</v>
      </c>
      <c r="E12">
        <f t="shared" si="6"/>
        <v>21621.947611497781</v>
      </c>
      <c r="F12">
        <f t="shared" si="1"/>
        <v>149.11688007929504</v>
      </c>
      <c r="G12">
        <f t="shared" si="2"/>
        <v>75</v>
      </c>
      <c r="H12">
        <f t="shared" si="3"/>
        <v>21750</v>
      </c>
      <c r="I12">
        <f t="shared" si="0"/>
        <v>128.0523885022194</v>
      </c>
      <c r="J12">
        <f t="shared" si="7"/>
        <v>4</v>
      </c>
    </row>
    <row r="13" spans="1:12" x14ac:dyDescent="0.3">
      <c r="A13">
        <v>5</v>
      </c>
      <c r="B13" t="s">
        <v>6</v>
      </c>
      <c r="C13">
        <f t="shared" si="4"/>
        <v>783.99086930475426</v>
      </c>
      <c r="D13">
        <f t="shared" si="5"/>
        <v>1275525.0592226966</v>
      </c>
      <c r="E13">
        <f t="shared" si="6"/>
        <v>20408.400947563146</v>
      </c>
      <c r="F13">
        <f t="shared" si="1"/>
        <v>140.7475927418148</v>
      </c>
      <c r="G13">
        <f t="shared" si="2"/>
        <v>70</v>
      </c>
      <c r="H13">
        <f t="shared" si="3"/>
        <v>20300</v>
      </c>
      <c r="I13">
        <f t="shared" si="0"/>
        <v>108.40094756314647</v>
      </c>
      <c r="J13">
        <f t="shared" si="7"/>
        <v>5</v>
      </c>
    </row>
    <row r="14" spans="1:12" x14ac:dyDescent="0.3">
      <c r="A14">
        <v>5</v>
      </c>
      <c r="B14" t="s">
        <v>10</v>
      </c>
      <c r="C14">
        <f t="shared" si="4"/>
        <v>830.60939206136459</v>
      </c>
      <c r="D14">
        <f t="shared" si="5"/>
        <v>1203935.3389903891</v>
      </c>
      <c r="E14">
        <f t="shared" si="6"/>
        <v>19262.965423846224</v>
      </c>
      <c r="F14">
        <f t="shared" si="1"/>
        <v>132.84803740583604</v>
      </c>
      <c r="G14">
        <f t="shared" si="2"/>
        <v>66</v>
      </c>
      <c r="H14">
        <f t="shared" si="3"/>
        <v>19140</v>
      </c>
      <c r="I14">
        <f t="shared" si="0"/>
        <v>122.96542384622444</v>
      </c>
      <c r="J14">
        <f t="shared" si="7"/>
        <v>4</v>
      </c>
    </row>
    <row r="15" spans="1:12" x14ac:dyDescent="0.3">
      <c r="A15">
        <v>6</v>
      </c>
      <c r="B15" t="s">
        <v>0</v>
      </c>
      <c r="C15">
        <f t="shared" si="4"/>
        <v>879.99999641879242</v>
      </c>
      <c r="D15">
        <f t="shared" si="5"/>
        <v>1136363.6409881297</v>
      </c>
      <c r="E15">
        <f t="shared" si="6"/>
        <v>18181.818255810074</v>
      </c>
      <c r="F15">
        <f t="shared" si="1"/>
        <v>125.39185004006947</v>
      </c>
      <c r="G15">
        <f t="shared" si="2"/>
        <v>63</v>
      </c>
      <c r="H15">
        <f t="shared" si="3"/>
        <v>18270</v>
      </c>
      <c r="I15">
        <f t="shared" si="0"/>
        <v>88.181744189925666</v>
      </c>
      <c r="J15">
        <f t="shared" si="7"/>
        <v>3</v>
      </c>
    </row>
    <row r="16" spans="1:12" x14ac:dyDescent="0.3">
      <c r="A16">
        <v>6</v>
      </c>
      <c r="B16" t="s">
        <v>7</v>
      </c>
      <c r="C16">
        <f t="shared" si="4"/>
        <v>932.32751892584281</v>
      </c>
      <c r="D16">
        <f t="shared" si="5"/>
        <v>1072584.4509578827</v>
      </c>
      <c r="E16">
        <f t="shared" si="6"/>
        <v>17161.351215326122</v>
      </c>
      <c r="F16">
        <f t="shared" si="1"/>
        <v>118.35414631259394</v>
      </c>
      <c r="G16">
        <f t="shared" si="2"/>
        <v>59</v>
      </c>
      <c r="H16">
        <f t="shared" si="3"/>
        <v>17110</v>
      </c>
      <c r="I16">
        <f t="shared" si="0"/>
        <v>51.351215326121746</v>
      </c>
      <c r="J16">
        <f t="shared" si="7"/>
        <v>4</v>
      </c>
    </row>
    <row r="17" spans="1:10" x14ac:dyDescent="0.3">
      <c r="A17">
        <v>6</v>
      </c>
      <c r="B17" t="s">
        <v>1</v>
      </c>
      <c r="C17">
        <f t="shared" si="4"/>
        <v>987.76659782251704</v>
      </c>
      <c r="D17">
        <f t="shared" si="5"/>
        <v>1012384.9117842726</v>
      </c>
      <c r="E17">
        <f t="shared" si="6"/>
        <v>16198.158588548362</v>
      </c>
      <c r="F17">
        <f t="shared" si="1"/>
        <v>111.71143854171284</v>
      </c>
      <c r="G17">
        <f t="shared" si="2"/>
        <v>56</v>
      </c>
      <c r="H17">
        <f t="shared" si="3"/>
        <v>16240</v>
      </c>
      <c r="I17">
        <f t="shared" si="0"/>
        <v>41.841411451638123</v>
      </c>
      <c r="J17">
        <f t="shared" si="7"/>
        <v>3</v>
      </c>
    </row>
    <row r="18" spans="1:10" x14ac:dyDescent="0.3">
      <c r="A18">
        <v>6</v>
      </c>
      <c r="B18" t="s">
        <v>2</v>
      </c>
      <c r="C18">
        <f t="shared" si="4"/>
        <v>1046.5022558788976</v>
      </c>
      <c r="D18">
        <f t="shared" si="5"/>
        <v>955564.11310375726</v>
      </c>
      <c r="E18">
        <f t="shared" si="6"/>
        <v>15289.025809660116</v>
      </c>
      <c r="F18">
        <f t="shared" si="1"/>
        <v>105.4415573080008</v>
      </c>
      <c r="G18">
        <f t="shared" si="2"/>
        <v>53</v>
      </c>
      <c r="H18">
        <f t="shared" si="3"/>
        <v>15370</v>
      </c>
      <c r="I18">
        <f t="shared" si="0"/>
        <v>80.974190339884444</v>
      </c>
      <c r="J18">
        <f t="shared" si="7"/>
        <v>3</v>
      </c>
    </row>
    <row r="19" spans="1:10" x14ac:dyDescent="0.3">
      <c r="A19">
        <v>6</v>
      </c>
      <c r="B19" t="s">
        <v>11</v>
      </c>
      <c r="C19">
        <f t="shared" si="4"/>
        <v>1108.7305178914366</v>
      </c>
      <c r="D19">
        <f t="shared" si="5"/>
        <v>901932.42078497272</v>
      </c>
      <c r="E19">
        <f t="shared" si="6"/>
        <v>14430.918732559563</v>
      </c>
      <c r="F19">
        <f t="shared" si="1"/>
        <v>99.523577465928028</v>
      </c>
      <c r="G19">
        <f t="shared" si="2"/>
        <v>50</v>
      </c>
      <c r="H19">
        <f t="shared" si="3"/>
        <v>14500</v>
      </c>
      <c r="I19">
        <f t="shared" si="0"/>
        <v>69.081267440436932</v>
      </c>
      <c r="J19">
        <f t="shared" si="7"/>
        <v>3</v>
      </c>
    </row>
    <row r="20" spans="1:10" x14ac:dyDescent="0.3">
      <c r="A20">
        <v>6</v>
      </c>
      <c r="B20" t="s">
        <v>3</v>
      </c>
      <c r="C20">
        <f t="shared" si="4"/>
        <v>1174.6590648974839</v>
      </c>
      <c r="D20">
        <f t="shared" si="5"/>
        <v>851310.84404245683</v>
      </c>
      <c r="E20">
        <f t="shared" si="6"/>
        <v>13620.973504679308</v>
      </c>
      <c r="F20">
        <f t="shared" si="1"/>
        <v>93.937748308133166</v>
      </c>
      <c r="G20">
        <f t="shared" si="2"/>
        <v>47</v>
      </c>
      <c r="H20">
        <f t="shared" si="3"/>
        <v>13630</v>
      </c>
      <c r="I20">
        <f t="shared" si="0"/>
        <v>9.0264953206915379</v>
      </c>
      <c r="J20">
        <f t="shared" si="7"/>
        <v>3</v>
      </c>
    </row>
    <row r="21" spans="1:10" x14ac:dyDescent="0.3">
      <c r="A21">
        <v>6</v>
      </c>
      <c r="B21" t="s">
        <v>8</v>
      </c>
      <c r="C21">
        <f t="shared" si="4"/>
        <v>1244.5079272914352</v>
      </c>
      <c r="D21">
        <f t="shared" si="5"/>
        <v>803530.43807154708</v>
      </c>
      <c r="E21">
        <f t="shared" si="6"/>
        <v>12856.487009144754</v>
      </c>
      <c r="F21">
        <f t="shared" si="1"/>
        <v>88.665427649274164</v>
      </c>
      <c r="G21">
        <f t="shared" si="2"/>
        <v>44</v>
      </c>
      <c r="H21">
        <f t="shared" si="3"/>
        <v>12760</v>
      </c>
      <c r="I21">
        <f t="shared" si="0"/>
        <v>96.487009144753756</v>
      </c>
      <c r="J21">
        <f t="shared" si="7"/>
        <v>3</v>
      </c>
    </row>
    <row r="22" spans="1:10" x14ac:dyDescent="0.3">
      <c r="A22">
        <v>6</v>
      </c>
      <c r="B22" t="s">
        <v>4</v>
      </c>
      <c r="C22">
        <f t="shared" si="4"/>
        <v>1318.510219155711</v>
      </c>
      <c r="D22">
        <f t="shared" si="5"/>
        <v>758431.74021080823</v>
      </c>
      <c r="E22">
        <f t="shared" si="6"/>
        <v>12134.907843372932</v>
      </c>
      <c r="F22">
        <f t="shared" si="1"/>
        <v>83.689019609468502</v>
      </c>
      <c r="G22">
        <f t="shared" si="2"/>
        <v>42</v>
      </c>
      <c r="H22">
        <f t="shared" si="3"/>
        <v>12180</v>
      </c>
      <c r="I22">
        <f t="shared" si="0"/>
        <v>45.092156627068107</v>
      </c>
      <c r="J22">
        <f t="shared" si="7"/>
        <v>2</v>
      </c>
    </row>
    <row r="23" spans="1:10" x14ac:dyDescent="0.3">
      <c r="A23">
        <v>6</v>
      </c>
      <c r="B23" t="s">
        <v>5</v>
      </c>
      <c r="C23">
        <f t="shared" si="4"/>
        <v>1396.9129162573277</v>
      </c>
      <c r="D23">
        <f t="shared" si="5"/>
        <v>715864.23775022803</v>
      </c>
      <c r="E23">
        <f t="shared" si="6"/>
        <v>11453.827804003649</v>
      </c>
      <c r="F23">
        <f t="shared" si="1"/>
        <v>78.991915889680342</v>
      </c>
      <c r="G23">
        <f t="shared" si="2"/>
        <v>39</v>
      </c>
      <c r="H23">
        <f t="shared" si="3"/>
        <v>11310</v>
      </c>
      <c r="I23">
        <f t="shared" si="0"/>
        <v>143.82780400364936</v>
      </c>
      <c r="J23">
        <f t="shared" si="7"/>
        <v>3</v>
      </c>
    </row>
    <row r="24" spans="1:10" x14ac:dyDescent="0.3">
      <c r="A24">
        <v>6</v>
      </c>
      <c r="B24" t="s">
        <v>9</v>
      </c>
      <c r="C24">
        <f t="shared" si="4"/>
        <v>1479.9776803065513</v>
      </c>
      <c r="D24">
        <f t="shared" si="5"/>
        <v>675685.86560904596</v>
      </c>
      <c r="E24">
        <f t="shared" si="6"/>
        <v>10810.973849744736</v>
      </c>
      <c r="F24">
        <f t="shared" si="1"/>
        <v>74.558440343067147</v>
      </c>
      <c r="G24">
        <f t="shared" si="2"/>
        <v>37</v>
      </c>
      <c r="H24">
        <f t="shared" si="3"/>
        <v>10730</v>
      </c>
      <c r="I24">
        <f t="shared" si="0"/>
        <v>80.973849744736071</v>
      </c>
      <c r="J24">
        <f t="shared" si="7"/>
        <v>2</v>
      </c>
    </row>
    <row r="25" spans="1:10" x14ac:dyDescent="0.3">
      <c r="A25">
        <v>6</v>
      </c>
      <c r="B25" t="s">
        <v>6</v>
      </c>
      <c r="C25">
        <f t="shared" si="4"/>
        <v>1567.9817322285219</v>
      </c>
      <c r="D25">
        <f t="shared" si="5"/>
        <v>637762.53220675746</v>
      </c>
      <c r="E25">
        <f t="shared" si="6"/>
        <v>10204.200515308119</v>
      </c>
      <c r="F25">
        <f t="shared" si="1"/>
        <v>70.373796657297376</v>
      </c>
      <c r="G25">
        <f t="shared" si="2"/>
        <v>35</v>
      </c>
      <c r="H25">
        <f t="shared" si="3"/>
        <v>10150</v>
      </c>
      <c r="I25">
        <f t="shared" si="0"/>
        <v>54.200515308119066</v>
      </c>
      <c r="J25">
        <f t="shared" si="7"/>
        <v>2</v>
      </c>
    </row>
    <row r="26" spans="1:10" x14ac:dyDescent="0.3">
      <c r="A26">
        <v>6</v>
      </c>
      <c r="B26" t="s">
        <v>10</v>
      </c>
      <c r="C26">
        <f t="shared" si="4"/>
        <v>1661.2187773623093</v>
      </c>
      <c r="D26">
        <f t="shared" si="5"/>
        <v>601967.67194493464</v>
      </c>
      <c r="E26">
        <f t="shared" si="6"/>
        <v>9631.4827511189542</v>
      </c>
      <c r="F26">
        <f t="shared" si="1"/>
        <v>66.424018973234169</v>
      </c>
      <c r="G26">
        <f t="shared" si="2"/>
        <v>33</v>
      </c>
      <c r="H26">
        <f t="shared" si="3"/>
        <v>9570</v>
      </c>
      <c r="I26">
        <f t="shared" si="0"/>
        <v>61.482751118954184</v>
      </c>
      <c r="J26">
        <f t="shared" si="7"/>
        <v>2</v>
      </c>
    </row>
    <row r="27" spans="1:10" x14ac:dyDescent="0.3">
      <c r="A27">
        <v>7</v>
      </c>
      <c r="B27" t="s">
        <v>0</v>
      </c>
      <c r="C27">
        <f t="shared" si="4"/>
        <v>1759.9999856751695</v>
      </c>
      <c r="D27">
        <f t="shared" si="5"/>
        <v>568181.82280631154</v>
      </c>
      <c r="E27">
        <f t="shared" si="6"/>
        <v>9090.9091649009843</v>
      </c>
      <c r="F27">
        <f t="shared" si="1"/>
        <v>62.695925275179199</v>
      </c>
      <c r="G27">
        <f t="shared" si="2"/>
        <v>31</v>
      </c>
      <c r="H27">
        <f t="shared" si="3"/>
        <v>8990</v>
      </c>
      <c r="I27">
        <f t="shared" si="0"/>
        <v>100.90916490098425</v>
      </c>
      <c r="J27">
        <f t="shared" si="7"/>
        <v>2</v>
      </c>
    </row>
    <row r="28" spans="1:10" x14ac:dyDescent="0.3">
      <c r="A28">
        <v>7</v>
      </c>
      <c r="B28" t="s">
        <v>7</v>
      </c>
      <c r="C28">
        <f t="shared" si="4"/>
        <v>1864.6550302633707</v>
      </c>
      <c r="D28">
        <f t="shared" si="5"/>
        <v>536292.22766141163</v>
      </c>
      <c r="E28">
        <f t="shared" si="6"/>
        <v>8580.6756425825861</v>
      </c>
      <c r="F28">
        <f t="shared" si="1"/>
        <v>59.177073397121283</v>
      </c>
      <c r="G28">
        <f t="shared" si="2"/>
        <v>30</v>
      </c>
      <c r="H28">
        <f t="shared" si="3"/>
        <v>8700</v>
      </c>
      <c r="I28">
        <f t="shared" si="0"/>
        <v>119.32435741741392</v>
      </c>
      <c r="J28">
        <f t="shared" si="7"/>
        <v>1</v>
      </c>
    </row>
    <row r="29" spans="1:10" x14ac:dyDescent="0.3">
      <c r="A29">
        <v>7</v>
      </c>
      <c r="B29" t="s">
        <v>1</v>
      </c>
      <c r="C29">
        <f t="shared" si="4"/>
        <v>1975.5331876054945</v>
      </c>
      <c r="D29">
        <f t="shared" si="5"/>
        <v>506192.457952114</v>
      </c>
      <c r="E29">
        <f t="shared" si="6"/>
        <v>8099.0793272338242</v>
      </c>
      <c r="F29">
        <f t="shared" si="1"/>
        <v>55.855719498164305</v>
      </c>
      <c r="G29">
        <f t="shared" si="2"/>
        <v>28</v>
      </c>
      <c r="H29">
        <f t="shared" si="3"/>
        <v>8120</v>
      </c>
      <c r="I29">
        <f t="shared" si="0"/>
        <v>20.920672766175812</v>
      </c>
      <c r="J29">
        <f t="shared" si="7"/>
        <v>2</v>
      </c>
    </row>
    <row r="30" spans="1:10" x14ac:dyDescent="0.3">
      <c r="A30">
        <v>7</v>
      </c>
      <c r="B30" t="s">
        <v>2</v>
      </c>
      <c r="C30">
        <f t="shared" si="4"/>
        <v>2093.0045032401999</v>
      </c>
      <c r="D30">
        <f t="shared" si="5"/>
        <v>477782.05849623861</v>
      </c>
      <c r="E30">
        <f t="shared" si="6"/>
        <v>7644.5129359398179</v>
      </c>
      <c r="F30">
        <f t="shared" si="1"/>
        <v>52.720778868550468</v>
      </c>
      <c r="G30">
        <f t="shared" si="2"/>
        <v>26</v>
      </c>
      <c r="H30">
        <f t="shared" si="3"/>
        <v>7540</v>
      </c>
      <c r="I30">
        <f t="shared" si="0"/>
        <v>104.51293593981791</v>
      </c>
      <c r="J30">
        <f t="shared" si="7"/>
        <v>2</v>
      </c>
    </row>
    <row r="31" spans="1:10" x14ac:dyDescent="0.3">
      <c r="A31">
        <v>7</v>
      </c>
      <c r="B31" t="s">
        <v>11</v>
      </c>
      <c r="C31">
        <f t="shared" si="4"/>
        <v>2217.4610267587955</v>
      </c>
      <c r="D31">
        <f t="shared" si="5"/>
        <v>450966.2122277178</v>
      </c>
      <c r="E31">
        <f t="shared" si="6"/>
        <v>7215.4593956434846</v>
      </c>
      <c r="F31">
        <f t="shared" si="1"/>
        <v>49.76178893547231</v>
      </c>
      <c r="G31">
        <f t="shared" si="2"/>
        <v>25</v>
      </c>
      <c r="H31">
        <f t="shared" si="3"/>
        <v>7250</v>
      </c>
      <c r="I31">
        <f t="shared" si="0"/>
        <v>34.54060435651536</v>
      </c>
      <c r="J31">
        <f t="shared" si="7"/>
        <v>1</v>
      </c>
    </row>
    <row r="32" spans="1:10" x14ac:dyDescent="0.3">
      <c r="A32">
        <v>7</v>
      </c>
      <c r="B32" t="s">
        <v>3</v>
      </c>
      <c r="C32">
        <f t="shared" si="4"/>
        <v>2349.3181202342903</v>
      </c>
      <c r="D32">
        <f t="shared" si="5"/>
        <v>425655.42375345621</v>
      </c>
      <c r="E32">
        <f t="shared" si="6"/>
        <v>6810.4867800552993</v>
      </c>
      <c r="F32">
        <f t="shared" si="1"/>
        <v>46.96887434520896</v>
      </c>
      <c r="G32">
        <f t="shared" si="2"/>
        <v>23</v>
      </c>
      <c r="H32">
        <f t="shared" si="3"/>
        <v>6670</v>
      </c>
      <c r="I32">
        <f t="shared" si="0"/>
        <v>140.48678005529928</v>
      </c>
      <c r="J32">
        <f t="shared" si="7"/>
        <v>2</v>
      </c>
    </row>
    <row r="33" spans="1:10" x14ac:dyDescent="0.3">
      <c r="A33">
        <v>7</v>
      </c>
      <c r="B33" t="s">
        <v>8</v>
      </c>
      <c r="C33">
        <f t="shared" si="4"/>
        <v>2489.0158444536855</v>
      </c>
      <c r="D33">
        <f t="shared" si="5"/>
        <v>401765.22067077889</v>
      </c>
      <c r="E33">
        <f t="shared" si="6"/>
        <v>6428.2435307324622</v>
      </c>
      <c r="F33">
        <f t="shared" si="1"/>
        <v>44.332714005051464</v>
      </c>
      <c r="G33">
        <f t="shared" si="2"/>
        <v>22</v>
      </c>
      <c r="H33">
        <f t="shared" si="3"/>
        <v>6380</v>
      </c>
      <c r="I33">
        <f t="shared" si="0"/>
        <v>48.243530732462204</v>
      </c>
      <c r="J33">
        <f t="shared" si="7"/>
        <v>1</v>
      </c>
    </row>
    <row r="34" spans="1:10" x14ac:dyDescent="0.3">
      <c r="A34">
        <v>7</v>
      </c>
      <c r="B34" t="s">
        <v>4</v>
      </c>
      <c r="C34">
        <f t="shared" si="4"/>
        <v>2637.0204275799247</v>
      </c>
      <c r="D34">
        <f t="shared" si="5"/>
        <v>379215.87164864363</v>
      </c>
      <c r="E34">
        <f t="shared" si="6"/>
        <v>6067.4539463782985</v>
      </c>
      <c r="F34">
        <f t="shared" si="1"/>
        <v>41.844509975022746</v>
      </c>
      <c r="G34">
        <f t="shared" si="2"/>
        <v>21</v>
      </c>
      <c r="H34">
        <f t="shared" si="3"/>
        <v>6090</v>
      </c>
      <c r="I34">
        <f t="shared" si="0"/>
        <v>22.546053621701503</v>
      </c>
      <c r="J34">
        <f t="shared" si="7"/>
        <v>1</v>
      </c>
    </row>
    <row r="35" spans="1:10" x14ac:dyDescent="0.3">
      <c r="A35">
        <v>7</v>
      </c>
      <c r="B35" t="s">
        <v>5</v>
      </c>
      <c r="C35">
        <f t="shared" si="4"/>
        <v>2793.8258211450302</v>
      </c>
      <c r="D35">
        <f t="shared" si="5"/>
        <v>357932.12033173809</v>
      </c>
      <c r="E35">
        <f t="shared" si="6"/>
        <v>5726.9139253078092</v>
      </c>
      <c r="F35">
        <f t="shared" si="1"/>
        <v>39.495958105571098</v>
      </c>
      <c r="G35">
        <f t="shared" si="2"/>
        <v>20</v>
      </c>
      <c r="H35">
        <f t="shared" si="3"/>
        <v>5800</v>
      </c>
      <c r="I35">
        <f t="shared" si="0"/>
        <v>73.086074692190778</v>
      </c>
      <c r="J35">
        <f t="shared" si="7"/>
        <v>1</v>
      </c>
    </row>
    <row r="36" spans="1:10" x14ac:dyDescent="0.3">
      <c r="A36">
        <v>7</v>
      </c>
      <c r="B36" t="s">
        <v>9</v>
      </c>
      <c r="C36">
        <f t="shared" si="4"/>
        <v>2959.9553485674046</v>
      </c>
      <c r="D36">
        <f t="shared" si="5"/>
        <v>337842.93417939299</v>
      </c>
      <c r="E36">
        <f t="shared" si="6"/>
        <v>5405.4869468702882</v>
      </c>
      <c r="F36">
        <f t="shared" si="1"/>
        <v>37.279220323243365</v>
      </c>
      <c r="G36">
        <f t="shared" si="2"/>
        <v>19</v>
      </c>
      <c r="H36">
        <f t="shared" si="3"/>
        <v>5510</v>
      </c>
      <c r="I36">
        <f t="shared" si="0"/>
        <v>104.51305312971181</v>
      </c>
      <c r="J36">
        <f t="shared" si="7"/>
        <v>1</v>
      </c>
    </row>
    <row r="37" spans="1:10" x14ac:dyDescent="0.3">
      <c r="A37">
        <v>7</v>
      </c>
      <c r="B37" t="s">
        <v>6</v>
      </c>
      <c r="C37">
        <f t="shared" si="4"/>
        <v>3135.9634516950709</v>
      </c>
      <c r="D37">
        <f t="shared" si="5"/>
        <v>318881.26740108326</v>
      </c>
      <c r="E37">
        <f t="shared" si="6"/>
        <v>5102.1002784173324</v>
      </c>
      <c r="F37">
        <f t="shared" si="1"/>
        <v>35.186898471843669</v>
      </c>
      <c r="G37">
        <f t="shared" si="2"/>
        <v>18</v>
      </c>
      <c r="H37">
        <f t="shared" si="3"/>
        <v>5220</v>
      </c>
      <c r="I37">
        <f t="shared" si="0"/>
        <v>117.89972158266755</v>
      </c>
      <c r="J37">
        <f t="shared" si="7"/>
        <v>1</v>
      </c>
    </row>
    <row r="38" spans="1:10" x14ac:dyDescent="0.3">
      <c r="A38">
        <v>7</v>
      </c>
      <c r="B38" t="s">
        <v>10</v>
      </c>
      <c r="C38">
        <f t="shared" si="4"/>
        <v>3322.4375412037793</v>
      </c>
      <c r="D38">
        <f t="shared" si="5"/>
        <v>300983.8371973373</v>
      </c>
      <c r="E38">
        <f t="shared" si="6"/>
        <v>4815.7413951573972</v>
      </c>
      <c r="F38">
        <f t="shared" si="1"/>
        <v>33.212009621775152</v>
      </c>
      <c r="G38">
        <f t="shared" si="2"/>
        <v>17</v>
      </c>
      <c r="H38">
        <f t="shared" si="3"/>
        <v>4930</v>
      </c>
      <c r="I38">
        <f t="shared" si="0"/>
        <v>114.25860484260284</v>
      </c>
      <c r="J38">
        <f t="shared" si="7"/>
        <v>1</v>
      </c>
    </row>
    <row r="39" spans="1:10" x14ac:dyDescent="0.3">
      <c r="A39">
        <v>8</v>
      </c>
      <c r="B39" t="s">
        <v>0</v>
      </c>
      <c r="C39">
        <f t="shared" si="4"/>
        <v>3519.9999570255086</v>
      </c>
      <c r="D39">
        <f t="shared" si="5"/>
        <v>284090.91255927912</v>
      </c>
      <c r="E39">
        <f t="shared" si="6"/>
        <v>4545.4546009484657</v>
      </c>
      <c r="F39">
        <f t="shared" si="1"/>
        <v>31.347962765161832</v>
      </c>
      <c r="G39">
        <f t="shared" si="2"/>
        <v>16</v>
      </c>
      <c r="H39">
        <f t="shared" si="3"/>
        <v>4640</v>
      </c>
      <c r="I39">
        <f t="shared" si="0"/>
        <v>94.545399051534332</v>
      </c>
      <c r="J39">
        <f t="shared" si="7"/>
        <v>1</v>
      </c>
    </row>
    <row r="40" spans="1:10" x14ac:dyDescent="0.3">
      <c r="A40">
        <v>8</v>
      </c>
      <c r="B40" t="s">
        <v>7</v>
      </c>
      <c r="C40">
        <f t="shared" si="4"/>
        <v>3729.3100453501124</v>
      </c>
      <c r="D40">
        <f t="shared" si="5"/>
        <v>268146.11492194096</v>
      </c>
      <c r="E40">
        <f t="shared" si="6"/>
        <v>4290.3378387510556</v>
      </c>
      <c r="F40">
        <f t="shared" si="1"/>
        <v>29.588536818972798</v>
      </c>
      <c r="G40">
        <f t="shared" si="2"/>
        <v>15</v>
      </c>
      <c r="H40">
        <f t="shared" si="3"/>
        <v>4350</v>
      </c>
      <c r="I40">
        <f t="shared" si="0"/>
        <v>59.662161248944358</v>
      </c>
      <c r="J40">
        <f t="shared" si="7"/>
        <v>1</v>
      </c>
    </row>
    <row r="41" spans="1:10" x14ac:dyDescent="0.3">
      <c r="A41">
        <v>8</v>
      </c>
      <c r="B41" t="s">
        <v>1</v>
      </c>
      <c r="C41">
        <f t="shared" si="4"/>
        <v>3951.0663591319108</v>
      </c>
      <c r="D41">
        <f t="shared" si="5"/>
        <v>253096.23000604578</v>
      </c>
      <c r="E41">
        <f t="shared" si="6"/>
        <v>4049.5396800967324</v>
      </c>
      <c r="F41">
        <f t="shared" si="1"/>
        <v>27.927859862736085</v>
      </c>
      <c r="G41">
        <f t="shared" si="2"/>
        <v>14</v>
      </c>
      <c r="H41">
        <f t="shared" si="3"/>
        <v>4060</v>
      </c>
      <c r="I41">
        <f t="shared" si="0"/>
        <v>10.460319903267646</v>
      </c>
      <c r="J41">
        <f t="shared" si="7"/>
        <v>1</v>
      </c>
    </row>
    <row r="42" spans="1:10" x14ac:dyDescent="0.3">
      <c r="A42">
        <v>8</v>
      </c>
      <c r="B42" t="s">
        <v>2</v>
      </c>
      <c r="C42">
        <f t="shared" si="4"/>
        <v>4186.0089894452094</v>
      </c>
      <c r="D42">
        <f t="shared" si="5"/>
        <v>238891.03022029929</v>
      </c>
      <c r="E42">
        <f t="shared" si="6"/>
        <v>3822.2564835247886</v>
      </c>
      <c r="F42">
        <f>E42/$B$1</f>
        <v>26.360389541550266</v>
      </c>
      <c r="G42">
        <f t="shared" si="2"/>
        <v>13</v>
      </c>
      <c r="H42">
        <f t="shared" si="3"/>
        <v>3770</v>
      </c>
      <c r="I42">
        <f t="shared" si="0"/>
        <v>52.256483524788564</v>
      </c>
      <c r="J42">
        <f t="shared" si="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tabSelected="1" workbookViewId="0">
      <selection activeCell="G90" sqref="G3:G90"/>
    </sheetView>
  </sheetViews>
  <sheetFormatPr defaultRowHeight="14" x14ac:dyDescent="0.3"/>
  <cols>
    <col min="1" max="1" width="20.3984375" bestFit="1" customWidth="1"/>
    <col min="7" max="7" width="10.69921875" bestFit="1" customWidth="1"/>
  </cols>
  <sheetData>
    <row r="1" spans="1:7" x14ac:dyDescent="0.3">
      <c r="A1" t="s">
        <v>21</v>
      </c>
      <c r="B1">
        <v>145</v>
      </c>
      <c r="C1" t="s">
        <v>12</v>
      </c>
      <c r="D1" t="s">
        <v>13</v>
      </c>
      <c r="E1" t="s">
        <v>15</v>
      </c>
      <c r="F1" t="s">
        <v>16</v>
      </c>
      <c r="G1" t="s">
        <v>20</v>
      </c>
    </row>
    <row r="2" spans="1:7" x14ac:dyDescent="0.3">
      <c r="A2">
        <v>1.059463094</v>
      </c>
      <c r="B2" t="s">
        <v>14</v>
      </c>
      <c r="C2">
        <v>16000000</v>
      </c>
      <c r="D2">
        <f>1000000000/C2</f>
        <v>62.5</v>
      </c>
      <c r="E2">
        <f>D2/$D$2</f>
        <v>1</v>
      </c>
      <c r="F2">
        <f>E2/$B$1</f>
        <v>6.8965517241379309E-3</v>
      </c>
      <c r="G2">
        <f>ROUND(F2/2,0)</f>
        <v>0</v>
      </c>
    </row>
    <row r="3" spans="1:7" x14ac:dyDescent="0.3">
      <c r="A3">
        <v>1</v>
      </c>
      <c r="B3" t="s">
        <v>0</v>
      </c>
      <c r="C3">
        <f t="shared" ref="C3:C49" si="0">C4/$A$2</f>
        <v>27.500000447650976</v>
      </c>
      <c r="D3">
        <f t="shared" ref="D3:D50" si="1">1000000000/C3</f>
        <v>36363635.771701202</v>
      </c>
      <c r="E3">
        <f t="shared" ref="E3:E50" si="2">D3/$D$2</f>
        <v>581818.1723472192</v>
      </c>
      <c r="F3">
        <f t="shared" ref="F3:F50" si="3">E3/$B$1</f>
        <v>4012.5391196359947</v>
      </c>
      <c r="G3">
        <f t="shared" ref="G3:G66" si="4">ROUND(F3/2,0)</f>
        <v>2006</v>
      </c>
    </row>
    <row r="4" spans="1:7" x14ac:dyDescent="0.3">
      <c r="A4">
        <v>1</v>
      </c>
      <c r="B4" t="s">
        <v>7</v>
      </c>
      <c r="C4">
        <f t="shared" si="0"/>
        <v>29.135235559269688</v>
      </c>
      <c r="D4">
        <f t="shared" si="1"/>
        <v>34322701.732261755</v>
      </c>
      <c r="E4">
        <f t="shared" si="2"/>
        <v>549163.22771618806</v>
      </c>
      <c r="F4">
        <f t="shared" si="3"/>
        <v>3787.3326049392281</v>
      </c>
      <c r="G4">
        <f t="shared" si="4"/>
        <v>1894</v>
      </c>
    </row>
    <row r="5" spans="1:7" x14ac:dyDescent="0.3">
      <c r="A5">
        <v>1</v>
      </c>
      <c r="B5" t="s">
        <v>1</v>
      </c>
      <c r="C5">
        <f t="shared" si="0"/>
        <v>30.867706810042687</v>
      </c>
      <c r="D5">
        <f t="shared" si="1"/>
        <v>32396316.517903879</v>
      </c>
      <c r="E5">
        <f t="shared" si="2"/>
        <v>518341.06428646209</v>
      </c>
      <c r="F5">
        <f t="shared" si="3"/>
        <v>3574.7659605962904</v>
      </c>
      <c r="G5">
        <f t="shared" si="4"/>
        <v>1787</v>
      </c>
    </row>
    <row r="6" spans="1:7" x14ac:dyDescent="0.3">
      <c r="A6">
        <v>1</v>
      </c>
      <c r="B6" t="s">
        <v>2</v>
      </c>
      <c r="C6">
        <f t="shared" si="0"/>
        <v>32.703196161652698</v>
      </c>
      <c r="D6">
        <f t="shared" si="1"/>
        <v>30578050.997125037</v>
      </c>
      <c r="E6">
        <f t="shared" si="2"/>
        <v>489248.81595400057</v>
      </c>
      <c r="F6">
        <f t="shared" si="3"/>
        <v>3374.1297652000039</v>
      </c>
      <c r="G6">
        <f t="shared" si="4"/>
        <v>1687</v>
      </c>
    </row>
    <row r="7" spans="1:7" x14ac:dyDescent="0.3">
      <c r="A7">
        <v>1</v>
      </c>
      <c r="B7" t="s">
        <v>11</v>
      </c>
      <c r="C7">
        <f t="shared" si="0"/>
        <v>34.647829389113497</v>
      </c>
      <c r="D7">
        <f t="shared" si="1"/>
        <v>28861836.877845068</v>
      </c>
      <c r="E7">
        <f t="shared" si="2"/>
        <v>461789.39004552108</v>
      </c>
      <c r="F7">
        <f t="shared" si="3"/>
        <v>3184.7544141070421</v>
      </c>
      <c r="G7">
        <f t="shared" si="4"/>
        <v>1592</v>
      </c>
    </row>
    <row r="8" spans="1:7" x14ac:dyDescent="0.3">
      <c r="A8">
        <v>1</v>
      </c>
      <c r="B8" t="s">
        <v>3</v>
      </c>
      <c r="C8">
        <f t="shared" si="0"/>
        <v>36.708096524974316</v>
      </c>
      <c r="D8">
        <f t="shared" si="1"/>
        <v>27241946.455045715</v>
      </c>
      <c r="E8">
        <f t="shared" si="2"/>
        <v>435871.14328073146</v>
      </c>
      <c r="F8">
        <f t="shared" si="3"/>
        <v>3006.0078846946999</v>
      </c>
      <c r="G8">
        <f t="shared" si="4"/>
        <v>1503</v>
      </c>
    </row>
    <row r="9" spans="1:7" x14ac:dyDescent="0.3">
      <c r="A9">
        <v>1</v>
      </c>
      <c r="B9" t="s">
        <v>8</v>
      </c>
      <c r="C9">
        <f t="shared" si="0"/>
        <v>38.890873519199936</v>
      </c>
      <c r="D9">
        <f t="shared" si="1"/>
        <v>25712973.495087802</v>
      </c>
      <c r="E9">
        <f t="shared" si="2"/>
        <v>411407.57592140482</v>
      </c>
      <c r="F9">
        <f t="shared" si="3"/>
        <v>2837.293627044171</v>
      </c>
      <c r="G9">
        <f t="shared" si="4"/>
        <v>1419</v>
      </c>
    </row>
    <row r="10" spans="1:7" x14ac:dyDescent="0.3">
      <c r="A10">
        <v>1</v>
      </c>
      <c r="B10" t="s">
        <v>4</v>
      </c>
      <c r="C10">
        <f t="shared" si="0"/>
        <v>41.203445187014232</v>
      </c>
      <c r="D10">
        <f t="shared" si="1"/>
        <v>24269815.192909215</v>
      </c>
      <c r="E10">
        <f t="shared" si="2"/>
        <v>388317.04308654746</v>
      </c>
      <c r="F10">
        <f t="shared" si="3"/>
        <v>2678.048573010672</v>
      </c>
      <c r="G10">
        <f t="shared" si="4"/>
        <v>1339</v>
      </c>
    </row>
    <row r="11" spans="1:7" x14ac:dyDescent="0.3">
      <c r="A11">
        <v>1</v>
      </c>
      <c r="B11" t="s">
        <v>5</v>
      </c>
      <c r="C11">
        <f t="shared" si="0"/>
        <v>43.653529521293507</v>
      </c>
      <c r="D11">
        <f t="shared" si="1"/>
        <v>22907655.141887568</v>
      </c>
      <c r="E11">
        <f t="shared" si="2"/>
        <v>366522.48227020109</v>
      </c>
      <c r="F11">
        <f t="shared" si="3"/>
        <v>2527.7412570358697</v>
      </c>
      <c r="G11">
        <f t="shared" si="4"/>
        <v>1264</v>
      </c>
    </row>
    <row r="12" spans="1:7" x14ac:dyDescent="0.3">
      <c r="A12">
        <v>1</v>
      </c>
      <c r="B12" t="s">
        <v>9</v>
      </c>
      <c r="C12">
        <f t="shared" si="0"/>
        <v>46.249303450649961</v>
      </c>
      <c r="D12">
        <f t="shared" si="1"/>
        <v>21621947.259531032</v>
      </c>
      <c r="E12">
        <f t="shared" si="2"/>
        <v>345951.15615249652</v>
      </c>
      <c r="F12">
        <f t="shared" si="3"/>
        <v>2385.8700424310105</v>
      </c>
      <c r="G12">
        <f t="shared" si="4"/>
        <v>1193</v>
      </c>
    </row>
    <row r="13" spans="1:7" x14ac:dyDescent="0.3">
      <c r="A13">
        <v>1</v>
      </c>
      <c r="B13" t="s">
        <v>6</v>
      </c>
      <c r="C13">
        <f t="shared" si="0"/>
        <v>48.999430129170484</v>
      </c>
      <c r="D13">
        <f t="shared" si="1"/>
        <v>20408400.615350772</v>
      </c>
      <c r="E13">
        <f t="shared" si="2"/>
        <v>326534.40984561236</v>
      </c>
      <c r="F13">
        <f t="shared" si="3"/>
        <v>2251.9614472111198</v>
      </c>
      <c r="G13">
        <f t="shared" si="4"/>
        <v>1126</v>
      </c>
    </row>
    <row r="14" spans="1:7" x14ac:dyDescent="0.3">
      <c r="A14">
        <v>1</v>
      </c>
      <c r="B14" t="s">
        <v>10</v>
      </c>
      <c r="C14">
        <f t="shared" si="0"/>
        <v>51.913087848887784</v>
      </c>
      <c r="D14">
        <f t="shared" si="1"/>
        <v>19262965.1102795</v>
      </c>
      <c r="E14">
        <f t="shared" si="2"/>
        <v>308207.44176447199</v>
      </c>
      <c r="F14">
        <f t="shared" si="3"/>
        <v>2125.5685638929103</v>
      </c>
      <c r="G14">
        <f t="shared" si="4"/>
        <v>1063</v>
      </c>
    </row>
    <row r="15" spans="1:7" x14ac:dyDescent="0.3">
      <c r="A15">
        <v>2</v>
      </c>
      <c r="B15" t="s">
        <v>0</v>
      </c>
      <c r="C15">
        <f t="shared" si="0"/>
        <v>55.000000671476457</v>
      </c>
      <c r="D15">
        <f t="shared" si="1"/>
        <v>18181817.959842496</v>
      </c>
      <c r="E15">
        <f t="shared" si="2"/>
        <v>290909.0873574799</v>
      </c>
      <c r="F15">
        <f t="shared" si="3"/>
        <v>2006.2695679826199</v>
      </c>
      <c r="G15">
        <f t="shared" si="4"/>
        <v>1003</v>
      </c>
    </row>
    <row r="16" spans="1:7" x14ac:dyDescent="0.3">
      <c r="A16">
        <v>2</v>
      </c>
      <c r="B16" t="s">
        <v>7</v>
      </c>
      <c r="C16">
        <f t="shared" si="0"/>
        <v>58.270470881404528</v>
      </c>
      <c r="D16">
        <f t="shared" si="1"/>
        <v>17161350.935969926</v>
      </c>
      <c r="E16">
        <f t="shared" si="2"/>
        <v>274581.61497551884</v>
      </c>
      <c r="F16">
        <f t="shared" si="3"/>
        <v>1893.6663101759921</v>
      </c>
      <c r="G16">
        <f t="shared" si="4"/>
        <v>947</v>
      </c>
    </row>
    <row r="17" spans="1:7" x14ac:dyDescent="0.3">
      <c r="A17">
        <v>2</v>
      </c>
      <c r="B17" t="s">
        <v>1</v>
      </c>
      <c r="C17">
        <f t="shared" si="0"/>
        <v>61.735413368849748</v>
      </c>
      <c r="D17">
        <f t="shared" si="1"/>
        <v>16198158.324871227</v>
      </c>
      <c r="E17">
        <f t="shared" si="2"/>
        <v>259170.53319793963</v>
      </c>
      <c r="F17">
        <f t="shared" si="3"/>
        <v>1787.3829875719975</v>
      </c>
      <c r="G17">
        <f t="shared" si="4"/>
        <v>894</v>
      </c>
    </row>
    <row r="18" spans="1:7" x14ac:dyDescent="0.3">
      <c r="A18">
        <v>2</v>
      </c>
      <c r="B18" t="s">
        <v>2</v>
      </c>
      <c r="C18">
        <f t="shared" si="0"/>
        <v>65.406392057130518</v>
      </c>
      <c r="D18">
        <f t="shared" si="1"/>
        <v>15289025.560782041</v>
      </c>
      <c r="E18">
        <f t="shared" si="2"/>
        <v>244624.40897251267</v>
      </c>
      <c r="F18">
        <f t="shared" si="3"/>
        <v>1687.0648894656047</v>
      </c>
      <c r="G18">
        <f t="shared" si="4"/>
        <v>844</v>
      </c>
    </row>
    <row r="19" spans="1:7" x14ac:dyDescent="0.3">
      <c r="A19">
        <v>2</v>
      </c>
      <c r="B19" t="s">
        <v>11</v>
      </c>
      <c r="C19">
        <f t="shared" si="0"/>
        <v>69.295658496224519</v>
      </c>
      <c r="D19">
        <f t="shared" si="1"/>
        <v>14430918.497649945</v>
      </c>
      <c r="E19">
        <f t="shared" si="2"/>
        <v>230894.69596239913</v>
      </c>
      <c r="F19">
        <f t="shared" si="3"/>
        <v>1592.3772135337872</v>
      </c>
      <c r="G19">
        <f t="shared" si="4"/>
        <v>796</v>
      </c>
    </row>
    <row r="20" spans="1:7" x14ac:dyDescent="0.3">
      <c r="A20">
        <v>2</v>
      </c>
      <c r="B20" t="s">
        <v>3</v>
      </c>
      <c r="C20">
        <f t="shared" si="0"/>
        <v>73.416192751177419</v>
      </c>
      <c r="D20">
        <f t="shared" si="1"/>
        <v>13620973.282954153</v>
      </c>
      <c r="E20">
        <f t="shared" si="2"/>
        <v>217935.57252726646</v>
      </c>
      <c r="F20">
        <f t="shared" si="3"/>
        <v>1503.0039484639067</v>
      </c>
      <c r="G20">
        <f t="shared" si="4"/>
        <v>752</v>
      </c>
    </row>
    <row r="21" spans="1:7" x14ac:dyDescent="0.3">
      <c r="A21">
        <v>2</v>
      </c>
      <c r="B21" t="s">
        <v>8</v>
      </c>
      <c r="C21">
        <f t="shared" si="0"/>
        <v>77.781746721862802</v>
      </c>
      <c r="D21">
        <f t="shared" si="1"/>
        <v>12856486.799864076</v>
      </c>
      <c r="E21">
        <f t="shared" si="2"/>
        <v>205703.78879782523</v>
      </c>
      <c r="F21">
        <f t="shared" si="3"/>
        <v>1418.6468192953464</v>
      </c>
      <c r="G21">
        <f t="shared" si="4"/>
        <v>709</v>
      </c>
    </row>
    <row r="22" spans="1:7" x14ac:dyDescent="0.3">
      <c r="A22">
        <v>2</v>
      </c>
      <c r="B22" t="s">
        <v>4</v>
      </c>
      <c r="C22">
        <f t="shared" si="0"/>
        <v>82.406890038669133</v>
      </c>
      <c r="D22">
        <f t="shared" si="1"/>
        <v>12134907.645838274</v>
      </c>
      <c r="E22">
        <f t="shared" si="2"/>
        <v>194158.52233341237</v>
      </c>
      <c r="F22">
        <f t="shared" si="3"/>
        <v>1339.0242919545681</v>
      </c>
      <c r="G22">
        <f t="shared" si="4"/>
        <v>670</v>
      </c>
    </row>
    <row r="23" spans="1:7" x14ac:dyDescent="0.3">
      <c r="A23">
        <v>2</v>
      </c>
      <c r="B23" t="s">
        <v>5</v>
      </c>
      <c r="C23">
        <f t="shared" si="0"/>
        <v>87.307058687286187</v>
      </c>
      <c r="D23">
        <f t="shared" si="1"/>
        <v>11453827.61755576</v>
      </c>
      <c r="E23">
        <f t="shared" si="2"/>
        <v>183261.24188089216</v>
      </c>
      <c r="F23">
        <f t="shared" si="3"/>
        <v>1263.8706336613252</v>
      </c>
      <c r="G23">
        <f t="shared" si="4"/>
        <v>632</v>
      </c>
    </row>
    <row r="24" spans="1:7" x14ac:dyDescent="0.3">
      <c r="A24">
        <v>2</v>
      </c>
      <c r="B24" t="s">
        <v>9</v>
      </c>
      <c r="C24">
        <f t="shared" si="0"/>
        <v>92.498606524871803</v>
      </c>
      <c r="D24">
        <f t="shared" si="1"/>
        <v>10810973.673761362</v>
      </c>
      <c r="E24">
        <f t="shared" si="2"/>
        <v>172975.57878018179</v>
      </c>
      <c r="F24">
        <f t="shared" si="3"/>
        <v>1192.9350260702192</v>
      </c>
      <c r="G24">
        <f t="shared" si="4"/>
        <v>596</v>
      </c>
    </row>
    <row r="25" spans="1:7" x14ac:dyDescent="0.3">
      <c r="A25">
        <v>2</v>
      </c>
      <c r="B25" t="s">
        <v>6</v>
      </c>
      <c r="C25">
        <f t="shared" si="0"/>
        <v>97.998859859529276</v>
      </c>
      <c r="D25">
        <f t="shared" si="1"/>
        <v>10204200.349201934</v>
      </c>
      <c r="E25">
        <f t="shared" si="2"/>
        <v>163267.20558723094</v>
      </c>
      <c r="F25">
        <f t="shared" si="3"/>
        <v>1125.9807281877995</v>
      </c>
      <c r="G25">
        <f t="shared" si="4"/>
        <v>563</v>
      </c>
    </row>
    <row r="26" spans="1:7" x14ac:dyDescent="0.3">
      <c r="A26">
        <v>2</v>
      </c>
      <c r="B26" t="s">
        <v>10</v>
      </c>
      <c r="C26">
        <f t="shared" si="0"/>
        <v>103.8261752752493</v>
      </c>
      <c r="D26">
        <f t="shared" si="1"/>
        <v>9631482.5943355914</v>
      </c>
      <c r="E26">
        <f t="shared" si="2"/>
        <v>154103.72150936947</v>
      </c>
      <c r="F26">
        <f t="shared" si="3"/>
        <v>1062.7842862715136</v>
      </c>
      <c r="G26">
        <f t="shared" si="4"/>
        <v>531</v>
      </c>
    </row>
    <row r="27" spans="1:7" x14ac:dyDescent="0.3">
      <c r="A27">
        <v>3</v>
      </c>
      <c r="B27" t="s">
        <v>0</v>
      </c>
      <c r="C27">
        <f t="shared" si="0"/>
        <v>110.00000089530192</v>
      </c>
      <c r="D27">
        <f t="shared" si="1"/>
        <v>9090909.016917197</v>
      </c>
      <c r="E27">
        <f t="shared" si="2"/>
        <v>145454.54427067516</v>
      </c>
      <c r="F27">
        <f t="shared" si="3"/>
        <v>1003.1347880736218</v>
      </c>
      <c r="G27">
        <f t="shared" si="4"/>
        <v>502</v>
      </c>
    </row>
    <row r="28" spans="1:7" x14ac:dyDescent="0.3">
      <c r="A28">
        <v>3</v>
      </c>
      <c r="B28" t="s">
        <v>7</v>
      </c>
      <c r="C28">
        <f t="shared" si="0"/>
        <v>116.54094128853936</v>
      </c>
      <c r="D28">
        <f t="shared" si="1"/>
        <v>8580675.5029044896</v>
      </c>
      <c r="E28">
        <f t="shared" si="2"/>
        <v>137290.80804647182</v>
      </c>
      <c r="F28">
        <f t="shared" si="3"/>
        <v>946.83315894118493</v>
      </c>
      <c r="G28">
        <f t="shared" si="4"/>
        <v>473</v>
      </c>
    </row>
    <row r="29" spans="1:7" x14ac:dyDescent="0.3">
      <c r="A29">
        <v>3</v>
      </c>
      <c r="B29" t="s">
        <v>1</v>
      </c>
      <c r="C29">
        <f t="shared" si="0"/>
        <v>123.47082623522826</v>
      </c>
      <c r="D29">
        <f t="shared" si="1"/>
        <v>8099079.1953952564</v>
      </c>
      <c r="E29">
        <f t="shared" si="2"/>
        <v>129585.26712632411</v>
      </c>
      <c r="F29">
        <f t="shared" si="3"/>
        <v>893.69149742292484</v>
      </c>
      <c r="G29">
        <f t="shared" si="4"/>
        <v>447</v>
      </c>
    </row>
    <row r="30" spans="1:7" x14ac:dyDescent="0.3">
      <c r="A30">
        <v>3</v>
      </c>
      <c r="B30" t="s">
        <v>2</v>
      </c>
      <c r="C30">
        <f t="shared" si="0"/>
        <v>130.8127835819113</v>
      </c>
      <c r="D30">
        <f t="shared" si="1"/>
        <v>7644512.8115007812</v>
      </c>
      <c r="E30">
        <f t="shared" si="2"/>
        <v>122312.2049840125</v>
      </c>
      <c r="F30">
        <f t="shared" si="3"/>
        <v>843.53244816560345</v>
      </c>
      <c r="G30">
        <f t="shared" si="4"/>
        <v>422</v>
      </c>
    </row>
    <row r="31" spans="1:7" x14ac:dyDescent="0.3">
      <c r="A31">
        <v>3</v>
      </c>
      <c r="B31" t="s">
        <v>11</v>
      </c>
      <c r="C31">
        <f t="shared" si="0"/>
        <v>138.59131642844417</v>
      </c>
      <c r="D31">
        <f t="shared" si="1"/>
        <v>7215459.2781886747</v>
      </c>
      <c r="E31">
        <f t="shared" si="2"/>
        <v>115447.3484510188</v>
      </c>
      <c r="F31">
        <f t="shared" si="3"/>
        <v>796.18861000702623</v>
      </c>
      <c r="G31">
        <f t="shared" si="4"/>
        <v>398</v>
      </c>
    </row>
    <row r="32" spans="1:7" x14ac:dyDescent="0.3">
      <c r="A32">
        <v>3</v>
      </c>
      <c r="B32" t="s">
        <v>3</v>
      </c>
      <c r="C32">
        <f t="shared" si="0"/>
        <v>146.8323849048125</v>
      </c>
      <c r="D32">
        <f t="shared" si="1"/>
        <v>6810486.6691927211</v>
      </c>
      <c r="E32">
        <f t="shared" si="2"/>
        <v>108967.78670708353</v>
      </c>
      <c r="F32">
        <f t="shared" si="3"/>
        <v>751.50197729023125</v>
      </c>
      <c r="G32">
        <f t="shared" si="4"/>
        <v>376</v>
      </c>
    </row>
    <row r="33" spans="1:7" x14ac:dyDescent="0.3">
      <c r="A33">
        <v>3</v>
      </c>
      <c r="B33" t="s">
        <v>8</v>
      </c>
      <c r="C33">
        <f t="shared" si="0"/>
        <v>155.56349281065155</v>
      </c>
      <c r="D33">
        <f t="shared" si="1"/>
        <v>6428243.4260921227</v>
      </c>
      <c r="E33">
        <f t="shared" si="2"/>
        <v>102851.89481747396</v>
      </c>
      <c r="F33">
        <f t="shared" si="3"/>
        <v>709.3234125343032</v>
      </c>
      <c r="G33">
        <f t="shared" si="4"/>
        <v>355</v>
      </c>
    </row>
    <row r="34" spans="1:7" x14ac:dyDescent="0.3">
      <c r="A34">
        <v>3</v>
      </c>
      <c r="B34" t="s">
        <v>4</v>
      </c>
      <c r="C34">
        <f t="shared" si="0"/>
        <v>164.81377940661966</v>
      </c>
      <c r="D34">
        <f t="shared" si="1"/>
        <v>6067453.8476109691</v>
      </c>
      <c r="E34">
        <f t="shared" si="2"/>
        <v>97079.261561775507</v>
      </c>
      <c r="F34">
        <f t="shared" si="3"/>
        <v>669.51214870190006</v>
      </c>
      <c r="G34">
        <f t="shared" si="4"/>
        <v>335</v>
      </c>
    </row>
    <row r="35" spans="1:7" x14ac:dyDescent="0.3">
      <c r="A35">
        <v>3</v>
      </c>
      <c r="B35" t="s">
        <v>5</v>
      </c>
      <c r="C35">
        <f t="shared" si="0"/>
        <v>174.61411666397075</v>
      </c>
      <c r="D35">
        <f t="shared" si="1"/>
        <v>5726913.832083866</v>
      </c>
      <c r="E35">
        <f t="shared" si="2"/>
        <v>91630.62131334185</v>
      </c>
      <c r="F35">
        <f t="shared" si="3"/>
        <v>631.93531940235755</v>
      </c>
      <c r="G35">
        <f t="shared" si="4"/>
        <v>316</v>
      </c>
    </row>
    <row r="36" spans="1:7" x14ac:dyDescent="0.3">
      <c r="A36">
        <v>3</v>
      </c>
      <c r="B36" t="s">
        <v>9</v>
      </c>
      <c r="C36">
        <f t="shared" si="0"/>
        <v>184.99721229688743</v>
      </c>
      <c r="D36">
        <f t="shared" si="1"/>
        <v>5405486.8588786023</v>
      </c>
      <c r="E36">
        <f t="shared" si="2"/>
        <v>86487.789742057634</v>
      </c>
      <c r="F36">
        <f t="shared" si="3"/>
        <v>596.46751546246639</v>
      </c>
      <c r="G36">
        <f t="shared" si="4"/>
        <v>298</v>
      </c>
    </row>
    <row r="37" spans="1:7" x14ac:dyDescent="0.3">
      <c r="A37">
        <v>3</v>
      </c>
      <c r="B37" t="s">
        <v>6</v>
      </c>
      <c r="C37">
        <f t="shared" si="0"/>
        <v>195.99771892143522</v>
      </c>
      <c r="D37">
        <f t="shared" si="1"/>
        <v>5102100.1953642396</v>
      </c>
      <c r="E37">
        <f t="shared" si="2"/>
        <v>81633.603125827838</v>
      </c>
      <c r="F37">
        <f t="shared" si="3"/>
        <v>562.99036638501957</v>
      </c>
      <c r="G37">
        <f t="shared" si="4"/>
        <v>281</v>
      </c>
    </row>
    <row r="38" spans="1:7" x14ac:dyDescent="0.3">
      <c r="A38">
        <v>3</v>
      </c>
      <c r="B38" t="s">
        <v>10</v>
      </c>
      <c r="C38">
        <f t="shared" si="0"/>
        <v>207.65234970544611</v>
      </c>
      <c r="D38">
        <f t="shared" si="1"/>
        <v>4815741.3167657163</v>
      </c>
      <c r="E38">
        <f t="shared" si="2"/>
        <v>77051.861068251455</v>
      </c>
      <c r="F38">
        <f t="shared" si="3"/>
        <v>531.39214529828587</v>
      </c>
      <c r="G38">
        <f t="shared" si="4"/>
        <v>266</v>
      </c>
    </row>
    <row r="39" spans="1:7" x14ac:dyDescent="0.3">
      <c r="A39">
        <v>4</v>
      </c>
      <c r="B39" t="s">
        <v>0</v>
      </c>
      <c r="C39">
        <f t="shared" si="0"/>
        <v>220.00000089530195</v>
      </c>
      <c r="D39">
        <f t="shared" si="1"/>
        <v>4545454.5269565713</v>
      </c>
      <c r="E39">
        <f t="shared" si="2"/>
        <v>72727.272431305144</v>
      </c>
      <c r="F39">
        <f t="shared" si="3"/>
        <v>501.56739607796652</v>
      </c>
      <c r="G39">
        <f t="shared" si="4"/>
        <v>251</v>
      </c>
    </row>
    <row r="40" spans="1:7" x14ac:dyDescent="0.3">
      <c r="A40">
        <v>4</v>
      </c>
      <c r="B40" t="s">
        <v>7</v>
      </c>
      <c r="C40">
        <f t="shared" si="0"/>
        <v>233.08188162853938</v>
      </c>
      <c r="D40">
        <f t="shared" si="1"/>
        <v>4290337.7689120062</v>
      </c>
      <c r="E40">
        <f t="shared" si="2"/>
        <v>68645.404302592098</v>
      </c>
      <c r="F40">
        <f t="shared" si="3"/>
        <v>473.41658139718686</v>
      </c>
      <c r="G40">
        <f t="shared" si="4"/>
        <v>237</v>
      </c>
    </row>
    <row r="41" spans="1:7" x14ac:dyDescent="0.3">
      <c r="A41">
        <v>4</v>
      </c>
      <c r="B41" t="s">
        <v>1</v>
      </c>
      <c r="C41">
        <f t="shared" si="0"/>
        <v>246.9416514655141</v>
      </c>
      <c r="D41">
        <f t="shared" si="1"/>
        <v>4049539.6141774487</v>
      </c>
      <c r="E41">
        <f t="shared" si="2"/>
        <v>64792.633826839177</v>
      </c>
      <c r="F41">
        <f t="shared" si="3"/>
        <v>446.84575052992534</v>
      </c>
      <c r="G41">
        <f t="shared" si="4"/>
        <v>223</v>
      </c>
    </row>
    <row r="42" spans="1:7" x14ac:dyDescent="0.3">
      <c r="A42">
        <v>4</v>
      </c>
      <c r="B42" t="s">
        <v>2</v>
      </c>
      <c r="C42">
        <f t="shared" si="0"/>
        <v>261.6255660991232</v>
      </c>
      <c r="D42">
        <f t="shared" si="1"/>
        <v>3822256.4213052699</v>
      </c>
      <c r="E42">
        <f t="shared" si="2"/>
        <v>61156.102740884322</v>
      </c>
      <c r="F42">
        <f t="shared" si="3"/>
        <v>421.76622579920223</v>
      </c>
      <c r="G42">
        <f t="shared" si="4"/>
        <v>211</v>
      </c>
    </row>
    <row r="43" spans="1:7" x14ac:dyDescent="0.3">
      <c r="A43">
        <v>4</v>
      </c>
      <c r="B43" t="s">
        <v>11</v>
      </c>
      <c r="C43">
        <f t="shared" si="0"/>
        <v>277.18263172887862</v>
      </c>
      <c r="D43">
        <f t="shared" si="1"/>
        <v>3607729.6537761884</v>
      </c>
      <c r="E43">
        <f t="shared" si="2"/>
        <v>57723.674460419017</v>
      </c>
      <c r="F43">
        <f t="shared" si="3"/>
        <v>398.09430662357943</v>
      </c>
      <c r="G43">
        <f t="shared" si="4"/>
        <v>199</v>
      </c>
    </row>
    <row r="44" spans="1:7" x14ac:dyDescent="0.3">
      <c r="A44">
        <v>4</v>
      </c>
      <c r="B44" t="s">
        <v>3</v>
      </c>
      <c r="C44">
        <f t="shared" si="0"/>
        <v>293.66476861454032</v>
      </c>
      <c r="D44">
        <f t="shared" si="1"/>
        <v>3405243.3484541825</v>
      </c>
      <c r="E44">
        <f t="shared" si="2"/>
        <v>54483.89357526692</v>
      </c>
      <c r="F44">
        <f t="shared" si="3"/>
        <v>375.75099017425464</v>
      </c>
      <c r="G44">
        <f t="shared" si="4"/>
        <v>188</v>
      </c>
    </row>
    <row r="45" spans="1:7" x14ac:dyDescent="0.3">
      <c r="A45">
        <v>4</v>
      </c>
      <c r="B45" t="s">
        <v>8</v>
      </c>
      <c r="C45">
        <f t="shared" si="0"/>
        <v>311.126984355155</v>
      </c>
      <c r="D45">
        <f t="shared" si="1"/>
        <v>3214121.7261261037</v>
      </c>
      <c r="E45">
        <f t="shared" si="2"/>
        <v>51425.947618017657</v>
      </c>
      <c r="F45">
        <f t="shared" si="3"/>
        <v>354.6617077104666</v>
      </c>
      <c r="G45">
        <f t="shared" si="4"/>
        <v>177</v>
      </c>
    </row>
    <row r="46" spans="1:7" x14ac:dyDescent="0.3">
      <c r="A46">
        <v>4</v>
      </c>
      <c r="B46" t="s">
        <v>4</v>
      </c>
      <c r="C46">
        <f t="shared" si="0"/>
        <v>329.62755747180211</v>
      </c>
      <c r="D46">
        <f t="shared" si="1"/>
        <v>3033726.9361514007</v>
      </c>
      <c r="E46">
        <f t="shared" si="2"/>
        <v>48539.630978422414</v>
      </c>
      <c r="F46">
        <f t="shared" si="3"/>
        <v>334.75607571325804</v>
      </c>
      <c r="G46">
        <f t="shared" si="4"/>
        <v>167</v>
      </c>
    </row>
    <row r="47" spans="1:7" x14ac:dyDescent="0.3">
      <c r="A47">
        <v>4</v>
      </c>
      <c r="B47" t="s">
        <v>5</v>
      </c>
      <c r="C47">
        <f t="shared" si="0"/>
        <v>349.2282319067383</v>
      </c>
      <c r="D47">
        <f t="shared" si="1"/>
        <v>2863456.927694926</v>
      </c>
      <c r="E47">
        <f t="shared" si="2"/>
        <v>45815.310843118816</v>
      </c>
      <c r="F47">
        <f t="shared" si="3"/>
        <v>315.96766098702631</v>
      </c>
      <c r="G47">
        <f t="shared" si="4"/>
        <v>158</v>
      </c>
    </row>
    <row r="48" spans="1:7" x14ac:dyDescent="0.3">
      <c r="A48">
        <v>4</v>
      </c>
      <c r="B48" t="s">
        <v>9</v>
      </c>
      <c r="C48">
        <f t="shared" si="0"/>
        <v>369.99442308806249</v>
      </c>
      <c r="D48">
        <f t="shared" si="1"/>
        <v>2702743.4404382622</v>
      </c>
      <c r="E48">
        <f t="shared" si="2"/>
        <v>43243.895047012193</v>
      </c>
      <c r="F48">
        <f t="shared" si="3"/>
        <v>298.2337589449117</v>
      </c>
      <c r="G48">
        <f t="shared" si="4"/>
        <v>149</v>
      </c>
    </row>
    <row r="49" spans="1:7" x14ac:dyDescent="0.3">
      <c r="A49">
        <v>4</v>
      </c>
      <c r="B49" t="s">
        <v>6</v>
      </c>
      <c r="C49">
        <f t="shared" si="0"/>
        <v>391.99543624762373</v>
      </c>
      <c r="D49">
        <f t="shared" si="1"/>
        <v>2551050.108063757</v>
      </c>
      <c r="E49">
        <f t="shared" si="2"/>
        <v>40816.80172902011</v>
      </c>
      <c r="F49">
        <f t="shared" si="3"/>
        <v>281.49518433806975</v>
      </c>
      <c r="G49">
        <f t="shared" si="4"/>
        <v>141</v>
      </c>
    </row>
    <row r="50" spans="1:7" x14ac:dyDescent="0.3">
      <c r="A50">
        <v>4</v>
      </c>
      <c r="B50" t="s">
        <v>10</v>
      </c>
      <c r="C50">
        <f>C51/$A$2</f>
        <v>415.3046977207872</v>
      </c>
      <c r="D50">
        <f t="shared" si="1"/>
        <v>2407870.6681818184</v>
      </c>
      <c r="E50">
        <f t="shared" si="2"/>
        <v>38525.930690909096</v>
      </c>
      <c r="F50">
        <f t="shared" si="3"/>
        <v>265.69607373040753</v>
      </c>
      <c r="G50">
        <f t="shared" si="4"/>
        <v>133</v>
      </c>
    </row>
    <row r="51" spans="1:7" x14ac:dyDescent="0.3">
      <c r="A51">
        <v>5</v>
      </c>
      <c r="B51" t="s">
        <v>0</v>
      </c>
      <c r="C51">
        <v>440</v>
      </c>
      <c r="D51">
        <f>1000000000/C51</f>
        <v>2272727.2727272729</v>
      </c>
      <c r="E51">
        <f>D51/$D$2</f>
        <v>36363.636363636368</v>
      </c>
      <c r="F51">
        <f t="shared" ref="F51:F89" si="5">E51/$B$1</f>
        <v>250.78369905956114</v>
      </c>
      <c r="G51">
        <f t="shared" si="4"/>
        <v>125</v>
      </c>
    </row>
    <row r="52" spans="1:7" x14ac:dyDescent="0.3">
      <c r="A52">
        <v>5</v>
      </c>
      <c r="B52" t="s">
        <v>7</v>
      </c>
      <c r="C52">
        <f t="shared" ref="C52:C90" si="6">C51*$A$2</f>
        <v>466.16376136000002</v>
      </c>
      <c r="D52">
        <f t="shared" ref="D52:D90" si="7">1000000000/C52</f>
        <v>2145168.8931858842</v>
      </c>
      <c r="E52">
        <f t="shared" ref="E52:E90" si="8">D52/$D$2</f>
        <v>34322.70229097415</v>
      </c>
      <c r="F52">
        <f t="shared" si="5"/>
        <v>236.70829166189068</v>
      </c>
      <c r="G52">
        <f t="shared" si="4"/>
        <v>118</v>
      </c>
    </row>
    <row r="53" spans="1:7" x14ac:dyDescent="0.3">
      <c r="A53">
        <v>5</v>
      </c>
      <c r="B53" t="s">
        <v>1</v>
      </c>
      <c r="C53">
        <f t="shared" si="6"/>
        <v>493.8833009211433</v>
      </c>
      <c r="D53">
        <f t="shared" si="7"/>
        <v>2024769.815328635</v>
      </c>
      <c r="E53">
        <f t="shared" si="8"/>
        <v>32396.317045258162</v>
      </c>
      <c r="F53">
        <f t="shared" si="5"/>
        <v>223.42287617419422</v>
      </c>
      <c r="G53">
        <f t="shared" si="4"/>
        <v>112</v>
      </c>
    </row>
    <row r="54" spans="1:7" x14ac:dyDescent="0.3">
      <c r="A54">
        <v>5</v>
      </c>
      <c r="B54" t="s">
        <v>2</v>
      </c>
      <c r="C54">
        <f t="shared" si="6"/>
        <v>523.2511300688476</v>
      </c>
      <c r="D54">
        <f t="shared" si="7"/>
        <v>1911128.2184300746</v>
      </c>
      <c r="E54">
        <f t="shared" si="8"/>
        <v>30578.051494881194</v>
      </c>
      <c r="F54">
        <f t="shared" si="5"/>
        <v>210.88311375780134</v>
      </c>
      <c r="G54">
        <f t="shared" si="4"/>
        <v>105</v>
      </c>
    </row>
    <row r="55" spans="1:7" x14ac:dyDescent="0.3">
      <c r="A55">
        <v>5</v>
      </c>
      <c r="B55" t="s">
        <v>11</v>
      </c>
      <c r="C55">
        <f t="shared" si="6"/>
        <v>554.36526120173778</v>
      </c>
      <c r="D55">
        <f t="shared" si="7"/>
        <v>1803864.8342290199</v>
      </c>
      <c r="E55">
        <f t="shared" si="8"/>
        <v>28861.837347664317</v>
      </c>
      <c r="F55">
        <f t="shared" si="5"/>
        <v>199.04715412182287</v>
      </c>
      <c r="G55">
        <f t="shared" si="4"/>
        <v>100</v>
      </c>
    </row>
    <row r="56" spans="1:7" x14ac:dyDescent="0.3">
      <c r="A56">
        <v>5</v>
      </c>
      <c r="B56" t="s">
        <v>3</v>
      </c>
      <c r="C56">
        <f t="shared" si="6"/>
        <v>587.32953483891129</v>
      </c>
      <c r="D56">
        <f t="shared" si="7"/>
        <v>1702621.6811560025</v>
      </c>
      <c r="E56">
        <f t="shared" si="8"/>
        <v>27241.94689849604</v>
      </c>
      <c r="F56">
        <f t="shared" si="5"/>
        <v>187.87549585169683</v>
      </c>
      <c r="G56">
        <f t="shared" si="4"/>
        <v>94</v>
      </c>
    </row>
    <row r="57" spans="1:7" x14ac:dyDescent="0.3">
      <c r="A57">
        <v>5</v>
      </c>
      <c r="B57" t="s">
        <v>8</v>
      </c>
      <c r="C57">
        <f t="shared" si="6"/>
        <v>622.2539661780138</v>
      </c>
      <c r="D57">
        <f t="shared" si="7"/>
        <v>1607060.869603073</v>
      </c>
      <c r="E57">
        <f t="shared" si="8"/>
        <v>25712.973913649166</v>
      </c>
      <c r="F57">
        <f t="shared" si="5"/>
        <v>177.3308545768908</v>
      </c>
      <c r="G57">
        <f t="shared" si="4"/>
        <v>89</v>
      </c>
    </row>
    <row r="58" spans="1:7" x14ac:dyDescent="0.3">
      <c r="A58">
        <v>5</v>
      </c>
      <c r="B58" t="s">
        <v>4</v>
      </c>
      <c r="C58">
        <f t="shared" si="6"/>
        <v>659.2551122607299</v>
      </c>
      <c r="D58">
        <f t="shared" si="7"/>
        <v>1516863.4742486584</v>
      </c>
      <c r="E58">
        <f t="shared" si="8"/>
        <v>24269.815587978534</v>
      </c>
      <c r="F58">
        <f t="shared" si="5"/>
        <v>167.378038537783</v>
      </c>
      <c r="G58">
        <f t="shared" si="4"/>
        <v>84</v>
      </c>
    </row>
    <row r="59" spans="1:7" x14ac:dyDescent="0.3">
      <c r="A59">
        <v>5</v>
      </c>
      <c r="B59" t="s">
        <v>5</v>
      </c>
      <c r="C59">
        <f t="shared" si="6"/>
        <v>698.45646097107021</v>
      </c>
      <c r="D59">
        <f t="shared" si="7"/>
        <v>1431728.4696739595</v>
      </c>
      <c r="E59">
        <f t="shared" si="8"/>
        <v>22907.655514783353</v>
      </c>
      <c r="F59">
        <f t="shared" si="5"/>
        <v>157.98383113643692</v>
      </c>
      <c r="G59">
        <f t="shared" si="4"/>
        <v>79</v>
      </c>
    </row>
    <row r="60" spans="1:7" x14ac:dyDescent="0.3">
      <c r="A60">
        <v>5</v>
      </c>
      <c r="B60" t="s">
        <v>9</v>
      </c>
      <c r="C60">
        <f t="shared" si="6"/>
        <v>739.98884316470037</v>
      </c>
      <c r="D60">
        <f t="shared" si="7"/>
        <v>1351371.7257186114</v>
      </c>
      <c r="E60">
        <f t="shared" si="8"/>
        <v>21621.947611497781</v>
      </c>
      <c r="F60">
        <f t="shared" si="5"/>
        <v>149.11688007929504</v>
      </c>
      <c r="G60">
        <f t="shared" si="4"/>
        <v>75</v>
      </c>
    </row>
    <row r="61" spans="1:7" x14ac:dyDescent="0.3">
      <c r="A61">
        <v>5</v>
      </c>
      <c r="B61" t="s">
        <v>6</v>
      </c>
      <c r="C61">
        <f t="shared" si="6"/>
        <v>783.99086930475426</v>
      </c>
      <c r="D61">
        <f t="shared" si="7"/>
        <v>1275525.0592226966</v>
      </c>
      <c r="E61">
        <f t="shared" si="8"/>
        <v>20408.400947563146</v>
      </c>
      <c r="F61">
        <f t="shared" si="5"/>
        <v>140.7475927418148</v>
      </c>
      <c r="G61">
        <f t="shared" si="4"/>
        <v>70</v>
      </c>
    </row>
    <row r="62" spans="1:7" x14ac:dyDescent="0.3">
      <c r="A62">
        <v>5</v>
      </c>
      <c r="B62" t="s">
        <v>10</v>
      </c>
      <c r="C62">
        <f t="shared" si="6"/>
        <v>830.60939206136459</v>
      </c>
      <c r="D62">
        <f t="shared" si="7"/>
        <v>1203935.3389903891</v>
      </c>
      <c r="E62">
        <f t="shared" si="8"/>
        <v>19262.965423846224</v>
      </c>
      <c r="F62">
        <f t="shared" si="5"/>
        <v>132.84803740583604</v>
      </c>
      <c r="G62">
        <f t="shared" si="4"/>
        <v>66</v>
      </c>
    </row>
    <row r="63" spans="1:7" x14ac:dyDescent="0.3">
      <c r="A63">
        <v>6</v>
      </c>
      <c r="B63" t="s">
        <v>0</v>
      </c>
      <c r="C63">
        <f t="shared" si="6"/>
        <v>879.99999641879242</v>
      </c>
      <c r="D63">
        <f t="shared" si="7"/>
        <v>1136363.6409881297</v>
      </c>
      <c r="E63">
        <f t="shared" si="8"/>
        <v>18181.818255810074</v>
      </c>
      <c r="F63">
        <f t="shared" si="5"/>
        <v>125.39185004006947</v>
      </c>
      <c r="G63">
        <f t="shared" si="4"/>
        <v>63</v>
      </c>
    </row>
    <row r="64" spans="1:7" x14ac:dyDescent="0.3">
      <c r="A64">
        <v>6</v>
      </c>
      <c r="B64" t="s">
        <v>7</v>
      </c>
      <c r="C64">
        <f t="shared" si="6"/>
        <v>932.32751892584281</v>
      </c>
      <c r="D64">
        <f t="shared" si="7"/>
        <v>1072584.4509578827</v>
      </c>
      <c r="E64">
        <f t="shared" si="8"/>
        <v>17161.351215326122</v>
      </c>
      <c r="F64">
        <f t="shared" si="5"/>
        <v>118.35414631259394</v>
      </c>
      <c r="G64">
        <f t="shared" si="4"/>
        <v>59</v>
      </c>
    </row>
    <row r="65" spans="1:7" x14ac:dyDescent="0.3">
      <c r="A65">
        <v>6</v>
      </c>
      <c r="B65" t="s">
        <v>1</v>
      </c>
      <c r="C65">
        <f t="shared" si="6"/>
        <v>987.76659782251704</v>
      </c>
      <c r="D65">
        <f t="shared" si="7"/>
        <v>1012384.9117842726</v>
      </c>
      <c r="E65">
        <f t="shared" si="8"/>
        <v>16198.158588548362</v>
      </c>
      <c r="F65">
        <f t="shared" si="5"/>
        <v>111.71143854171284</v>
      </c>
      <c r="G65">
        <f t="shared" si="4"/>
        <v>56</v>
      </c>
    </row>
    <row r="66" spans="1:7" x14ac:dyDescent="0.3">
      <c r="A66">
        <v>6</v>
      </c>
      <c r="B66" t="s">
        <v>2</v>
      </c>
      <c r="C66">
        <f t="shared" si="6"/>
        <v>1046.5022558788976</v>
      </c>
      <c r="D66">
        <f t="shared" si="7"/>
        <v>955564.11310375726</v>
      </c>
      <c r="E66">
        <f t="shared" si="8"/>
        <v>15289.025809660116</v>
      </c>
      <c r="F66">
        <f t="shared" si="5"/>
        <v>105.4415573080008</v>
      </c>
      <c r="G66">
        <f t="shared" si="4"/>
        <v>53</v>
      </c>
    </row>
    <row r="67" spans="1:7" x14ac:dyDescent="0.3">
      <c r="A67">
        <v>6</v>
      </c>
      <c r="B67" t="s">
        <v>11</v>
      </c>
      <c r="C67">
        <f t="shared" si="6"/>
        <v>1108.7305178914366</v>
      </c>
      <c r="D67">
        <f t="shared" si="7"/>
        <v>901932.42078497272</v>
      </c>
      <c r="E67">
        <f t="shared" si="8"/>
        <v>14430.918732559563</v>
      </c>
      <c r="F67">
        <f t="shared" si="5"/>
        <v>99.523577465928028</v>
      </c>
      <c r="G67">
        <f t="shared" ref="G67:G90" si="9">ROUND(F67/2,0)</f>
        <v>50</v>
      </c>
    </row>
    <row r="68" spans="1:7" x14ac:dyDescent="0.3">
      <c r="A68">
        <v>6</v>
      </c>
      <c r="B68" t="s">
        <v>3</v>
      </c>
      <c r="C68">
        <f t="shared" si="6"/>
        <v>1174.6590648974839</v>
      </c>
      <c r="D68">
        <f t="shared" si="7"/>
        <v>851310.84404245683</v>
      </c>
      <c r="E68">
        <f t="shared" si="8"/>
        <v>13620.973504679308</v>
      </c>
      <c r="F68">
        <f t="shared" si="5"/>
        <v>93.937748308133166</v>
      </c>
      <c r="G68">
        <f t="shared" si="9"/>
        <v>47</v>
      </c>
    </row>
    <row r="69" spans="1:7" x14ac:dyDescent="0.3">
      <c r="A69">
        <v>6</v>
      </c>
      <c r="B69" t="s">
        <v>8</v>
      </c>
      <c r="C69">
        <f t="shared" si="6"/>
        <v>1244.5079272914352</v>
      </c>
      <c r="D69">
        <f t="shared" si="7"/>
        <v>803530.43807154708</v>
      </c>
      <c r="E69">
        <f t="shared" si="8"/>
        <v>12856.487009144754</v>
      </c>
      <c r="F69">
        <f t="shared" si="5"/>
        <v>88.665427649274164</v>
      </c>
      <c r="G69">
        <f t="shared" si="9"/>
        <v>44</v>
      </c>
    </row>
    <row r="70" spans="1:7" x14ac:dyDescent="0.3">
      <c r="A70">
        <v>6</v>
      </c>
      <c r="B70" t="s">
        <v>4</v>
      </c>
      <c r="C70">
        <f t="shared" si="6"/>
        <v>1318.510219155711</v>
      </c>
      <c r="D70">
        <f t="shared" si="7"/>
        <v>758431.74021080823</v>
      </c>
      <c r="E70">
        <f t="shared" si="8"/>
        <v>12134.907843372932</v>
      </c>
      <c r="F70">
        <f t="shared" si="5"/>
        <v>83.689019609468502</v>
      </c>
      <c r="G70">
        <f t="shared" si="9"/>
        <v>42</v>
      </c>
    </row>
    <row r="71" spans="1:7" x14ac:dyDescent="0.3">
      <c r="A71">
        <v>6</v>
      </c>
      <c r="B71" t="s">
        <v>5</v>
      </c>
      <c r="C71">
        <f t="shared" si="6"/>
        <v>1396.9129162573277</v>
      </c>
      <c r="D71">
        <f t="shared" si="7"/>
        <v>715864.23775022803</v>
      </c>
      <c r="E71">
        <f t="shared" si="8"/>
        <v>11453.827804003649</v>
      </c>
      <c r="F71">
        <f t="shared" si="5"/>
        <v>78.991915889680342</v>
      </c>
      <c r="G71">
        <f t="shared" si="9"/>
        <v>39</v>
      </c>
    </row>
    <row r="72" spans="1:7" x14ac:dyDescent="0.3">
      <c r="A72">
        <v>6</v>
      </c>
      <c r="B72" t="s">
        <v>9</v>
      </c>
      <c r="C72">
        <f t="shared" si="6"/>
        <v>1479.9776803065513</v>
      </c>
      <c r="D72">
        <f t="shared" si="7"/>
        <v>675685.86560904596</v>
      </c>
      <c r="E72">
        <f t="shared" si="8"/>
        <v>10810.973849744736</v>
      </c>
      <c r="F72">
        <f t="shared" si="5"/>
        <v>74.558440343067147</v>
      </c>
      <c r="G72">
        <f t="shared" si="9"/>
        <v>37</v>
      </c>
    </row>
    <row r="73" spans="1:7" x14ac:dyDescent="0.3">
      <c r="A73">
        <v>6</v>
      </c>
      <c r="B73" t="s">
        <v>6</v>
      </c>
      <c r="C73">
        <f t="shared" si="6"/>
        <v>1567.9817322285219</v>
      </c>
      <c r="D73">
        <f t="shared" si="7"/>
        <v>637762.53220675746</v>
      </c>
      <c r="E73">
        <f t="shared" si="8"/>
        <v>10204.200515308119</v>
      </c>
      <c r="F73">
        <f t="shared" si="5"/>
        <v>70.373796657297376</v>
      </c>
      <c r="G73">
        <f t="shared" si="9"/>
        <v>35</v>
      </c>
    </row>
    <row r="74" spans="1:7" x14ac:dyDescent="0.3">
      <c r="A74">
        <v>6</v>
      </c>
      <c r="B74" t="s">
        <v>10</v>
      </c>
      <c r="C74">
        <f t="shared" si="6"/>
        <v>1661.2187773623093</v>
      </c>
      <c r="D74">
        <f t="shared" si="7"/>
        <v>601967.67194493464</v>
      </c>
      <c r="E74">
        <f t="shared" si="8"/>
        <v>9631.4827511189542</v>
      </c>
      <c r="F74">
        <f t="shared" si="5"/>
        <v>66.424018973234169</v>
      </c>
      <c r="G74">
        <f t="shared" si="9"/>
        <v>33</v>
      </c>
    </row>
    <row r="75" spans="1:7" x14ac:dyDescent="0.3">
      <c r="A75">
        <v>7</v>
      </c>
      <c r="B75" t="s">
        <v>0</v>
      </c>
      <c r="C75">
        <f t="shared" si="6"/>
        <v>1759.9999856751695</v>
      </c>
      <c r="D75">
        <f t="shared" si="7"/>
        <v>568181.82280631154</v>
      </c>
      <c r="E75">
        <f t="shared" si="8"/>
        <v>9090.9091649009843</v>
      </c>
      <c r="F75">
        <f t="shared" si="5"/>
        <v>62.695925275179199</v>
      </c>
      <c r="G75">
        <f t="shared" si="9"/>
        <v>31</v>
      </c>
    </row>
    <row r="76" spans="1:7" x14ac:dyDescent="0.3">
      <c r="A76">
        <v>7</v>
      </c>
      <c r="B76" t="s">
        <v>7</v>
      </c>
      <c r="C76">
        <f t="shared" si="6"/>
        <v>1864.6550302633707</v>
      </c>
      <c r="D76">
        <f t="shared" si="7"/>
        <v>536292.22766141163</v>
      </c>
      <c r="E76">
        <f t="shared" si="8"/>
        <v>8580.6756425825861</v>
      </c>
      <c r="F76">
        <f t="shared" si="5"/>
        <v>59.177073397121283</v>
      </c>
      <c r="G76">
        <f t="shared" si="9"/>
        <v>30</v>
      </c>
    </row>
    <row r="77" spans="1:7" x14ac:dyDescent="0.3">
      <c r="A77">
        <v>7</v>
      </c>
      <c r="B77" t="s">
        <v>1</v>
      </c>
      <c r="C77">
        <f t="shared" si="6"/>
        <v>1975.5331876054945</v>
      </c>
      <c r="D77">
        <f t="shared" si="7"/>
        <v>506192.457952114</v>
      </c>
      <c r="E77">
        <f t="shared" si="8"/>
        <v>8099.0793272338242</v>
      </c>
      <c r="F77">
        <f t="shared" si="5"/>
        <v>55.855719498164305</v>
      </c>
      <c r="G77">
        <f t="shared" si="9"/>
        <v>28</v>
      </c>
    </row>
    <row r="78" spans="1:7" x14ac:dyDescent="0.3">
      <c r="A78">
        <v>7</v>
      </c>
      <c r="B78" t="s">
        <v>2</v>
      </c>
      <c r="C78">
        <f t="shared" si="6"/>
        <v>2093.0045032401999</v>
      </c>
      <c r="D78">
        <f t="shared" si="7"/>
        <v>477782.05849623861</v>
      </c>
      <c r="E78">
        <f t="shared" si="8"/>
        <v>7644.5129359398179</v>
      </c>
      <c r="F78">
        <f t="shared" si="5"/>
        <v>52.720778868550468</v>
      </c>
      <c r="G78">
        <f t="shared" si="9"/>
        <v>26</v>
      </c>
    </row>
    <row r="79" spans="1:7" x14ac:dyDescent="0.3">
      <c r="A79">
        <v>7</v>
      </c>
      <c r="B79" t="s">
        <v>11</v>
      </c>
      <c r="C79">
        <f t="shared" si="6"/>
        <v>2217.4610267587955</v>
      </c>
      <c r="D79">
        <f t="shared" si="7"/>
        <v>450966.2122277178</v>
      </c>
      <c r="E79">
        <f t="shared" si="8"/>
        <v>7215.4593956434846</v>
      </c>
      <c r="F79">
        <f t="shared" si="5"/>
        <v>49.76178893547231</v>
      </c>
      <c r="G79">
        <f t="shared" si="9"/>
        <v>25</v>
      </c>
    </row>
    <row r="80" spans="1:7" x14ac:dyDescent="0.3">
      <c r="A80">
        <v>7</v>
      </c>
      <c r="B80" t="s">
        <v>3</v>
      </c>
      <c r="C80">
        <f t="shared" si="6"/>
        <v>2349.3181202342903</v>
      </c>
      <c r="D80">
        <f t="shared" si="7"/>
        <v>425655.42375345621</v>
      </c>
      <c r="E80">
        <f t="shared" si="8"/>
        <v>6810.4867800552993</v>
      </c>
      <c r="F80">
        <f t="shared" si="5"/>
        <v>46.96887434520896</v>
      </c>
      <c r="G80">
        <f t="shared" si="9"/>
        <v>23</v>
      </c>
    </row>
    <row r="81" spans="1:7" x14ac:dyDescent="0.3">
      <c r="A81">
        <v>7</v>
      </c>
      <c r="B81" t="s">
        <v>8</v>
      </c>
      <c r="C81">
        <f t="shared" si="6"/>
        <v>2489.0158444536855</v>
      </c>
      <c r="D81">
        <f t="shared" si="7"/>
        <v>401765.22067077889</v>
      </c>
      <c r="E81">
        <f t="shared" si="8"/>
        <v>6428.2435307324622</v>
      </c>
      <c r="F81">
        <f t="shared" si="5"/>
        <v>44.332714005051464</v>
      </c>
      <c r="G81">
        <f t="shared" si="9"/>
        <v>22</v>
      </c>
    </row>
    <row r="82" spans="1:7" x14ac:dyDescent="0.3">
      <c r="A82">
        <v>7</v>
      </c>
      <c r="B82" t="s">
        <v>4</v>
      </c>
      <c r="C82">
        <f t="shared" si="6"/>
        <v>2637.0204275799247</v>
      </c>
      <c r="D82">
        <f t="shared" si="7"/>
        <v>379215.87164864363</v>
      </c>
      <c r="E82">
        <f t="shared" si="8"/>
        <v>6067.4539463782985</v>
      </c>
      <c r="F82">
        <f t="shared" si="5"/>
        <v>41.844509975022746</v>
      </c>
      <c r="G82">
        <f t="shared" si="9"/>
        <v>21</v>
      </c>
    </row>
    <row r="83" spans="1:7" x14ac:dyDescent="0.3">
      <c r="A83">
        <v>7</v>
      </c>
      <c r="B83" t="s">
        <v>5</v>
      </c>
      <c r="C83">
        <f t="shared" si="6"/>
        <v>2793.8258211450302</v>
      </c>
      <c r="D83">
        <f t="shared" si="7"/>
        <v>357932.12033173809</v>
      </c>
      <c r="E83">
        <f t="shared" si="8"/>
        <v>5726.9139253078092</v>
      </c>
      <c r="F83">
        <f t="shared" si="5"/>
        <v>39.495958105571098</v>
      </c>
      <c r="G83">
        <f t="shared" si="9"/>
        <v>20</v>
      </c>
    </row>
    <row r="84" spans="1:7" x14ac:dyDescent="0.3">
      <c r="A84">
        <v>7</v>
      </c>
      <c r="B84" t="s">
        <v>9</v>
      </c>
      <c r="C84">
        <f t="shared" si="6"/>
        <v>2959.9553485674046</v>
      </c>
      <c r="D84">
        <f t="shared" si="7"/>
        <v>337842.93417939299</v>
      </c>
      <c r="E84">
        <f t="shared" si="8"/>
        <v>5405.4869468702882</v>
      </c>
      <c r="F84">
        <f t="shared" si="5"/>
        <v>37.279220323243365</v>
      </c>
      <c r="G84">
        <f t="shared" si="9"/>
        <v>19</v>
      </c>
    </row>
    <row r="85" spans="1:7" x14ac:dyDescent="0.3">
      <c r="A85">
        <v>7</v>
      </c>
      <c r="B85" t="s">
        <v>6</v>
      </c>
      <c r="C85">
        <f t="shared" si="6"/>
        <v>3135.9634516950709</v>
      </c>
      <c r="D85">
        <f t="shared" si="7"/>
        <v>318881.26740108326</v>
      </c>
      <c r="E85">
        <f t="shared" si="8"/>
        <v>5102.1002784173324</v>
      </c>
      <c r="F85">
        <f t="shared" si="5"/>
        <v>35.186898471843669</v>
      </c>
      <c r="G85">
        <f t="shared" si="9"/>
        <v>18</v>
      </c>
    </row>
    <row r="86" spans="1:7" x14ac:dyDescent="0.3">
      <c r="A86">
        <v>7</v>
      </c>
      <c r="B86" t="s">
        <v>10</v>
      </c>
      <c r="C86">
        <f t="shared" si="6"/>
        <v>3322.4375412037793</v>
      </c>
      <c r="D86">
        <f t="shared" si="7"/>
        <v>300983.8371973373</v>
      </c>
      <c r="E86">
        <f t="shared" si="8"/>
        <v>4815.7413951573972</v>
      </c>
      <c r="F86">
        <f t="shared" si="5"/>
        <v>33.212009621775152</v>
      </c>
      <c r="G86">
        <f t="shared" si="9"/>
        <v>17</v>
      </c>
    </row>
    <row r="87" spans="1:7" x14ac:dyDescent="0.3">
      <c r="A87">
        <v>8</v>
      </c>
      <c r="B87" t="s">
        <v>0</v>
      </c>
      <c r="C87">
        <f t="shared" si="6"/>
        <v>3519.9999570255086</v>
      </c>
      <c r="D87">
        <f t="shared" si="7"/>
        <v>284090.91255927912</v>
      </c>
      <c r="E87">
        <f t="shared" si="8"/>
        <v>4545.4546009484657</v>
      </c>
      <c r="F87">
        <f t="shared" si="5"/>
        <v>31.347962765161832</v>
      </c>
      <c r="G87">
        <f t="shared" si="9"/>
        <v>16</v>
      </c>
    </row>
    <row r="88" spans="1:7" x14ac:dyDescent="0.3">
      <c r="A88">
        <v>8</v>
      </c>
      <c r="B88" t="s">
        <v>7</v>
      </c>
      <c r="C88">
        <f t="shared" si="6"/>
        <v>3729.3100453501124</v>
      </c>
      <c r="D88">
        <f t="shared" si="7"/>
        <v>268146.11492194096</v>
      </c>
      <c r="E88">
        <f t="shared" si="8"/>
        <v>4290.3378387510556</v>
      </c>
      <c r="F88">
        <f t="shared" si="5"/>
        <v>29.588536818972798</v>
      </c>
      <c r="G88">
        <f t="shared" si="9"/>
        <v>15</v>
      </c>
    </row>
    <row r="89" spans="1:7" x14ac:dyDescent="0.3">
      <c r="A89">
        <v>8</v>
      </c>
      <c r="B89" t="s">
        <v>1</v>
      </c>
      <c r="C89">
        <f t="shared" si="6"/>
        <v>3951.0663591319108</v>
      </c>
      <c r="D89">
        <f t="shared" si="7"/>
        <v>253096.23000604578</v>
      </c>
      <c r="E89">
        <f t="shared" si="8"/>
        <v>4049.5396800967324</v>
      </c>
      <c r="F89">
        <f t="shared" si="5"/>
        <v>27.927859862736085</v>
      </c>
      <c r="G89">
        <f t="shared" si="9"/>
        <v>14</v>
      </c>
    </row>
    <row r="90" spans="1:7" x14ac:dyDescent="0.3">
      <c r="A90">
        <v>8</v>
      </c>
      <c r="B90" t="s">
        <v>2</v>
      </c>
      <c r="C90">
        <f t="shared" si="6"/>
        <v>4186.0089894452094</v>
      </c>
      <c r="D90">
        <f t="shared" si="7"/>
        <v>238891.03022029929</v>
      </c>
      <c r="E90">
        <f t="shared" si="8"/>
        <v>3822.2564835247886</v>
      </c>
      <c r="F90">
        <f>E90/$B$1</f>
        <v>26.360389541550266</v>
      </c>
      <c r="G90">
        <f t="shared" si="9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AyeYongen</dc:creator>
  <cp:lastModifiedBy>ang yong qin</cp:lastModifiedBy>
  <dcterms:created xsi:type="dcterms:W3CDTF">2018-06-10T10:44:25Z</dcterms:created>
  <dcterms:modified xsi:type="dcterms:W3CDTF">2018-11-24T13:25:08Z</dcterms:modified>
</cp:coreProperties>
</file>